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592f92de0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Dashboard" sheetId="1" r:id="R1ef3a4578067483e"/>
    <x:sheet xmlns:r="http://schemas.openxmlformats.org/officeDocument/2006/relationships" name="00 Leia-me" sheetId="2" r:id="R90bb601d3f234282"/>
    <x:sheet xmlns:r="http://schemas.openxmlformats.org/officeDocument/2006/relationships" name="02 Mensal" sheetId="3" r:id="R962f1603e8ab4659"/>
    <x:sheet xmlns:r="http://schemas.openxmlformats.org/officeDocument/2006/relationships" name="03 Trimestral" sheetId="4" r:id="R2aa3db114a4746cf"/>
    <x:sheet xmlns:r="http://schemas.openxmlformats.org/officeDocument/2006/relationships" name="04 Selic Diária" sheetId="5" r:id="Rf5ea737855a84805"/>
    <x:sheet xmlns:r="http://schemas.openxmlformats.org/officeDocument/2006/relationships" name="05 Fontes" sheetId="6" r:id="R4219f8b17ee340ef"/>
    <x:sheet xmlns:r="http://schemas.openxmlformats.org/officeDocument/2006/relationships" name="06 Controle de Qualidade" sheetId="7" r:id="Raf27242055d742ec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Série não preenchida no arquivo de origem. Não foram imputados valores. Obter e validar na fonte oficial antes de publicar.</x:t>
        </x:r>
      </x:text>
    </x:comment>
    <x:comment ref="E1" authorId="0">
      <x:text>
        <x:r>
          <x:t>Série não preenchida no arquivo de origem. Não foram imputados valores. Obter e validar na fonte oficial antes de publicar.</x:t>
        </x:r>
      </x:text>
    </x:comment>
    <x:comment ref="I1" authorId="0">
      <x:text>
        <x:r>
          <x:t>Série não preenchida no arquivo de origem. Não foram imputados valores. Obter e validar na fonte oficial antes de publicar.</x:t>
        </x:r>
      </x:text>
    </x:comment>
    <x:comment ref="J1" authorId="0">
      <x:text>
        <x:r>
          <x:t>Série não preenchida no arquivo de origem. Não foram imputados valores. Obter e validar na fonte oficial antes de publicar.</x:t>
        </x:r>
      </x:text>
    </x:comment>
    <x:comment ref="K1" authorId="0">
      <x:text>
        <x:r>
          <x:t>Série não preenchida no arquivo de origem. Não foram imputados valores. Obter e validar na fonte oficial antes de publicar.</x:t>
        </x:r>
      </x:text>
    </x:comment>
    <x:comment ref="L1" authorId="0">
      <x:text>
        <x:r>
          <x:t>Série não preenchida no arquivo de origem. Não foram imputados valores. Obter e validar na fonte oficial antes de publicar.</x:t>
        </x:r>
      </x:text>
    </x:comment>
    <x:comment ref="M1" authorId="0">
      <x:text>
        <x:r>
          <x:t>Série não preenchida no arquivo de origem. Não foram imputados valores. Obter e validar na fonte oficial antes de publicar.</x:t>
        </x:r>
      </x:text>
    </x:comment>
    <x:comment ref="N1" authorId="0">
      <x:text>
        <x:r>
          <x:t>Série não preenchida no arquivo de origem. Não foram imputados valores. Obter e validar na fonte oficial antes de publicar.</x:t>
        </x:r>
      </x:text>
    </x:comment>
    <x:comment ref="C50" authorId="0">
      <x:text>
        <x:r>
          <x:t>Calculado por composição das 12 variações mensais do IPCA Brasil; conferir contra a série oficial acumulada em 12 meses.</x:t>
        </x:r>
      </x:text>
    </x:comment>
    <x:comment ref="C51" authorId="0">
      <x:text>
        <x:r>
          <x:t>Calculado por composição das 12 variações mensais do IPCA Brasil; conferir contra a série oficial acumulada em 12 meses.</x:t>
        </x:r>
      </x:text>
    </x:comment>
    <x:comment ref="C52" authorId="0">
      <x:text>
        <x:r>
          <x:t>Calculado por composição das 12 variações mensais do IPCA Brasil; conferir contra a série oficial acumulada em 12 meses.</x:t>
        </x:r>
      </x:text>
    </x:comment>
    <x:comment ref="C53" authorId="0">
      <x:text>
        <x:r>
          <x:t>Calculado por composição das 12 variações mensais do IPCA Brasil; conferir contra a série oficial acumulada em 12 meses.</x:t>
        </x:r>
      </x:text>
    </x:comment>
    <x:comment ref="C54" authorId="0">
      <x:text>
        <x:r>
          <x:t>Calculado por composição das 12 variações mensais do IPCA Brasil; conferir contra a série oficial acumulada em 12 meses.</x:t>
        </x:r>
      </x:text>
    </x:comment>
    <x:comment ref="C55" authorId="0">
      <x:text>
        <x:r>
          <x:t>Calculado por composição das 12 variações mensais do IPCA Brasil; conferir contra a série oficial acumulada em 12 meses.</x:t>
        </x:r>
      </x:text>
    </x:comment>
    <x:comment ref="C56" authorId="0">
      <x:text>
        <x:r>
          <x:t>Calculado por composição das 12 variações mensais do IPCA Brasil; conferir contra a série oficial acumulada em 12 meses.</x:t>
        </x:r>
      </x:text>
    </x:comment>
    <x:comment ref="C57" authorId="0">
      <x:text>
        <x:r>
          <x:t>Calculado por composição das 12 variações mensais do IPCA Brasil; conferir contra a série oficial acumulada em 12 meses.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F1" authorId="0">
      <x:text>
        <x:r>
          <x:t>Diferença em pontos percentuais = taxa de desocupação de Goiás menos taxa do Brasil. Só calculada quando ambas as taxas existem.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0.00\%"/>
    <x:numFmt numFmtId="165" formatCode="0.00&quot;% a.a.&quot;"/>
    <x:numFmt numFmtId="166" formatCode="mmm/yy"/>
    <x:numFmt numFmtId="167" formatCode="0.00;[RED]\-0.00;\–"/>
    <x:numFmt numFmtId="168" formatCode="dd/mm/yyyy"/>
    <x:numFmt numFmtId="169" formatCode="yyyy\-mm\-dd\ h:mm:ss"/>
    <x:numFmt numFmtId="200" formatCode="0.00&quot;%&quot;"/>
    <x:numFmt numFmtId="201" formatCode="0.00"/>
  </x:numFmts>
  <x:fonts count="4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4"/>
      <x:color rgb="FFFFFFFF"/>
      <x:name val="Aptos Display"/>
    </x:font>
    <x:font>
      <x:b/>
      <x:sz val="11"/>
      <x:color rgb="FF168C8C"/>
      <x:name val="Cambria"/>
    </x:font>
    <x:font>
      <x:b/>
      <x:sz val="11"/>
      <x:color rgb="FF805A12"/>
      <x:name val="Cambria"/>
    </x:font>
    <x:font>
      <x:b/>
      <x:sz val="10"/>
      <x:color rgb="FFFFFFFF"/>
      <x:name val="Cambria"/>
    </x:font>
    <x:font>
      <x:b/>
      <x:sz val="18"/>
      <x:color rgb="FF142B4A"/>
      <x:name val="Cambria"/>
    </x:font>
    <x:font>
      <x:b/>
      <x:sz val="12"/>
      <x:color rgb="FFFFFFFF"/>
      <x:name val="Cambria"/>
    </x:font>
    <x:font>
      <x:b/>
      <x:sz val="11"/>
      <x:color rgb="FF1F5A94"/>
      <x:name val="Cambria"/>
    </x:font>
    <x:font>
      <x:i/>
      <x:sz val="10"/>
      <x:color rgb="FF68788A"/>
      <x:name val="Cambria"/>
    </x:font>
    <x:font>
      <x:b/>
      <x:sz val="10"/>
      <x:color rgb="FF1F5A94"/>
      <x:name val="Cambria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8"/>
      <x:color rgb="FFFFFFFF"/>
      <x:name val="Cambria"/>
    </x:font>
    <x:font>
      <x:i/>
      <x:sz val="11"/>
      <x:color rgb="FF68788A"/>
      <x:name val="Cambria"/>
    </x:font>
    <x:font>
      <x:b/>
      <x:sz val="10"/>
      <x:color rgb="FFFFFFFF"/>
      <x:name val="Aptos"/>
    </x:font>
    <x:font>
      <x:sz val="10"/>
      <x:color rgb="FF000000"/>
      <x:name val="Segoe UI"/>
    </x:font>
    <x:font>
      <x:sz val="10"/>
      <x:name val="Arial"/>
    </x:font>
    <x:font>
      <x:b/>
      <x:sz val="11"/>
      <x:color rgb="FFFFFFFF"/>
      <x:name val="Cambria"/>
    </x:font>
    <x:font>
      <x:sz val="12"/>
      <x:color theme="10"/>
      <x:name val="Calibri"/>
    </x:font>
    <x:font>
      <x:b/>
      <x:sz val="20"/>
      <x:color rgb="FFFFFFFF"/>
      <x:name val="Aptos Display"/>
    </x:font>
    <x:font>
      <x:b/>
      <x:sz val="20"/>
      <x:color rgb="FFFFFFFF"/>
      <x:name val="Calibri"/>
    </x:font>
    <x:font>
      <x:b/>
      <x:sz val="11"/>
      <x:color rgb="FF17365D"/>
      <x:name val="Cambria"/>
    </x:font>
    <x:font>
      <x:b/>
      <x:sz val="11"/>
      <x:color rgb="FF17365D"/>
      <x:name val="Calibri"/>
    </x:font>
    <x:font>
      <x:b/>
      <x:sz val="10"/>
      <x:color rgb="FF7F6000"/>
      <x:name val="Cambria"/>
    </x:font>
    <x:font>
      <x:b/>
      <x:sz val="10"/>
      <x:color rgb="FF7F6000"/>
      <x:name val="Calibri"/>
    </x:font>
    <x:font>
      <x:b/>
      <x:sz val="10"/>
      <x:color rgb="FFFFFFFF"/>
      <x:name val="Calibri"/>
    </x:font>
    <x:font>
      <x:b/>
      <x:sz val="15"/>
      <x:color rgb="FF17365D"/>
      <x:name val="Cambria"/>
    </x:font>
    <x:font>
      <x:b/>
      <x:sz val="15"/>
      <x:color rgb="FF17365D"/>
      <x:name val="Calibri"/>
    </x:font>
    <x:font>
      <x:b/>
      <x:sz val="12"/>
      <x:color rgb="FFFFFFFF"/>
      <x:name val="Calibri"/>
    </x:font>
    <x:font>
      <x:b/>
      <x:sz val="10"/>
      <x:color rgb="FF1F4E78"/>
      <x:name val="Cambria"/>
    </x:font>
    <x:font>
      <x:b/>
      <x:sz val="10"/>
      <x:color rgb="FF1F4E78"/>
      <x:name val="Calibri"/>
    </x:font>
    <x:font>
      <x:sz val="10"/>
      <x:color rgb="FF243746"/>
      <x:name val="Calibri"/>
    </x:font>
    <x:font>
      <x:i/>
      <x:sz val="9"/>
      <x:color rgb="FF52606D"/>
      <x:name val="Cambria"/>
    </x:font>
    <x:font>
      <x:i/>
      <x:sz val="9"/>
      <x:color rgb="FF52606D"/>
      <x:name val="Calibri"/>
    </x:font>
    <x:font>
      <x:b/>
      <x:sz val="9"/>
      <x:color rgb="FFFFFFFF"/>
      <x:name val="Cambria"/>
    </x:font>
    <x:font>
      <x:b/>
      <x:sz val="9"/>
      <x:color rgb="FFFFFFFF"/>
      <x:name val="Calibri"/>
    </x:font>
    <x:font>
      <x:b/>
      <x:sz val="10"/>
      <x:color rgb="FF17365D"/>
      <x:name val="Cambria"/>
    </x:font>
  </x:fonts>
  <x:fills count="15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FFF2D6"/>
      </x:patternFill>
    </x:fill>
    <x:fill>
      <x:patternFill patternType="solid">
        <x:fgColor rgb="FF1F5A94"/>
      </x:patternFill>
    </x:fill>
    <x:fill>
      <x:patternFill patternType="solid">
        <x:fgColor rgb="FFEAF1F8"/>
      </x:patternFill>
    </x:fill>
    <x:fill>
      <x:patternFill patternType="solid">
        <x:fgColor rgb="FFF4F7FA"/>
      </x:patternFill>
    </x:fill>
    <x:fill>
      <x:patternFill patternType="solid">
        <x:fgColor rgb="FFF6F9F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hair">
        <x:color rgb="FFE3EAF1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hair">
        <x:color rgb="FFE3EAF1"/>
      </x:bottom>
    </x:border>
  </x:borders>
  <x:cellStyleXfs count="21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 numFmtId="0" fontId="22" fillId="0" borderId="0" applyAlignment="1">
      <x:alignment horizontal="general" vertical="bottom"/>
    </x:xf>
    <x:xf/>
    <x:xf/>
    <x:xf/>
    <x:xf/>
    <x:xf/>
    <x:xf/>
    <x:xf/>
    <x:xf/>
    <x:xf/>
    <x:xf/>
    <x:xf/>
    <x:xf/>
    <x:xf/>
    <x:xf/>
  </x:cellStyleXfs>
  <x:cellXfs count="274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general" vertical="center"/>
    </x:xf>
    <x:xf numFmtId="0" fontId="5" fillId="0" borderId="0" xfId="0" applyAlignment="1">
      <x:alignment horizontal="general" vertical="center"/>
    </x:xf>
    <x:xf numFmtId="0" fontId="6" fillId="3" borderId="0" xfId="0" applyAlignment="1">
      <x:alignment horizontal="general" vertical="center" wrapText="1"/>
    </x:xf>
    <x:xf numFmtId="0" fontId="7" fillId="4" borderId="0" xfId="0" applyAlignment="1">
      <x:alignment horizontal="center" vertical="center"/>
    </x:xf>
    <x:xf numFmtId="164" fontId="8" fillId="5" borderId="0" xfId="0" applyAlignment="1">
      <x:alignment horizontal="center" vertical="center"/>
    </x:xf>
    <x:xf numFmtId="165" fontId="8" fillId="5" borderId="0" xfId="0" applyAlignment="1">
      <x:alignment horizontal="center" vertical="center"/>
    </x:xf>
    <x:xf numFmtId="49" fontId="8" fillId="5" borderId="0" xfId="0" applyAlignment="1">
      <x:alignment horizontal="center" vertical="center"/>
    </x:xf>
    <x:xf numFmtId="0" fontId="9" fillId="2" borderId="0" xfId="0" applyAlignment="1">
      <x:alignment horizontal="general" vertical="bottom"/>
    </x:xf>
    <x:xf numFmtId="0" fontId="10" fillId="5" borderId="0" xfId="0" applyAlignment="1">
      <x:alignment horizontal="general" vertical="bottom"/>
    </x:xf>
    <x:xf numFmtId="0" fontId="0" fillId="0" borderId="0" xfId="0" applyAlignment="1">
      <x:alignment horizontal="general" vertical="center" wrapText="1"/>
    </x:xf>
    <x:xf numFmtId="0" fontId="11" fillId="6" borderId="0" xfId="0" applyAlignment="1">
      <x:alignment horizontal="general" vertical="center" wrapText="1"/>
    </x:xf>
    <x:xf numFmtId="0" fontId="12" fillId="0" borderId="0" xfId="0" applyAlignment="1">
      <x:alignment horizontal="general" vertical="bottom"/>
    </x:xf>
    <x:xf numFmtId="0" fontId="16" fillId="2" borderId="0" xfId="0" applyAlignment="1">
      <x:alignment horizontal="general" vertical="center"/>
    </x:xf>
    <x:xf numFmtId="0" fontId="17" fillId="0" borderId="0" xfId="0" applyAlignment="1">
      <x:alignment horizontal="general" vertical="bottom"/>
    </x:xf>
    <x:xf numFmtId="0" fontId="10" fillId="5" borderId="0" xfId="0" applyAlignment="1">
      <x:alignment horizontal="general" vertical="bottom"/>
    </x:xf>
    <x:xf numFmtId="0" fontId="0" fillId="0" borderId="0" xfId="0" applyAlignment="1">
      <x:alignment horizontal="general" vertical="top" wrapText="1"/>
    </x:xf>
    <x:xf numFmtId="0" fontId="18" fillId="2" borderId="1" xfId="0" applyAlignment="1">
      <x:alignment horizontal="general" vertical="center" wrapText="1"/>
    </x:xf>
    <x:xf numFmtId="166" fontId="19" fillId="7" borderId="2" xfId="0" applyAlignment="1">
      <x:alignment horizontal="center" vertical="center"/>
    </x:xf>
    <x:xf numFmtId="167" fontId="19" fillId="7" borderId="2" xfId="0" applyAlignment="1">
      <x:alignment horizontal="right" vertical="center"/>
    </x:xf>
    <x:xf numFmtId="166" fontId="19" fillId="0" borderId="2" xfId="0" applyAlignment="1">
      <x:alignment horizontal="center" vertical="center"/>
    </x:xf>
    <x:xf numFmtId="167" fontId="19" fillId="0" borderId="2" xfId="0" applyAlignment="1">
      <x:alignment horizontal="right" vertical="center"/>
    </x:xf>
    <x:xf numFmtId="0" fontId="19" fillId="7" borderId="2" xfId="0" applyAlignment="1">
      <x:alignment horizontal="left" vertical="center"/>
    </x:xf>
    <x:xf numFmtId="168" fontId="19" fillId="7" borderId="2" xfId="0" applyAlignment="1">
      <x:alignment horizontal="center" vertical="center"/>
    </x:xf>
    <x:xf numFmtId="0" fontId="19" fillId="0" borderId="2" xfId="0" applyAlignment="1">
      <x:alignment horizontal="left" vertical="center"/>
    </x:xf>
    <x:xf numFmtId="168" fontId="19" fillId="0" borderId="2" xfId="0" applyAlignment="1">
      <x:alignment horizontal="center" vertical="center"/>
    </x:xf>
    <x:xf numFmtId="0" fontId="21" fillId="2" borderId="1" xfId="0" applyAlignment="1">
      <x:alignment horizontal="general" vertical="bottom" wrapText="1"/>
    </x:xf>
    <x:xf numFmtId="168" fontId="19" fillId="7" borderId="1" xfId="0" applyAlignment="1">
      <x:alignment horizontal="center" vertical="center"/>
    </x:xf>
    <x:xf numFmtId="2" fontId="19" fillId="7" borderId="1" xfId="0" applyAlignment="1">
      <x:alignment horizontal="right" vertical="center"/>
    </x:xf>
    <x:xf numFmtId="168" fontId="19" fillId="0" borderId="1" xfId="0" applyAlignment="1">
      <x:alignment horizontal="center" vertical="center"/>
    </x:xf>
    <x:xf numFmtId="2" fontId="19" fillId="0" borderId="1" xfId="0" applyAlignment="1">
      <x:alignment horizontal="right" vertical="center"/>
    </x:xf>
    <x:xf numFmtId="0" fontId="21" fillId="2" borderId="1" xfId="0" applyAlignment="1">
      <x:alignment horizontal="general" vertical="center" wrapText="1"/>
    </x:xf>
    <x:xf numFmtId="0" fontId="19" fillId="7" borderId="1" xfId="0" applyAlignment="1">
      <x:alignment horizontal="general" vertical="top" wrapText="1"/>
    </x:xf>
    <x:xf numFmtId="0" fontId="22" fillId="0" borderId="0" xfId="20" applyAlignment="1">
      <x:alignment horizontal="general" vertical="bottom"/>
    </x:xf>
    <x:xf numFmtId="169" fontId="19" fillId="7" borderId="1" xfId="0" applyAlignment="1">
      <x:alignment horizontal="general" vertical="top" wrapText="1"/>
    </x:xf>
    <x:xf numFmtId="0" fontId="19" fillId="8" borderId="1" xfId="0" applyAlignment="1">
      <x:alignment horizontal="general" vertical="top" wrapText="1"/>
    </x:xf>
    <x:xf numFmtId="169" fontId="19" fillId="8" borderId="1" xfId="0" applyAlignment="1">
      <x:alignment horizontal="general" vertical="top" wrapText="1"/>
    </x:xf>
    <x:xf numFmtId="4" fontId="19" fillId="7" borderId="1" xfId="0" applyAlignment="1">
      <x:alignment horizontal="general" vertical="top" wrapText="1"/>
    </x:xf>
    <x:xf numFmtId="4" fontId="19" fillId="8" borderId="1" xfId="0" applyAlignment="1">
      <x:alignment horizontal="general" vertical="top" wrapText="1"/>
    </x:xf>
    <x:xf numFmtId="0" fontId="21" fillId="2" borderId="0" xfId="0" applyAlignment="1">
      <x:alignment horizontal="general" vertical="bottom" wrapText="1"/>
    </x:xf>
    <x:xf numFmtId="0" fontId="0" fillId="7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general" vertical="center"/>
    </x:xf>
    <x:xf numFmtId="0" fontId="5" fillId="0" borderId="0" xfId="0" applyAlignment="1">
      <x:alignment horizontal="general" vertical="center"/>
    </x:xf>
    <x:xf numFmtId="0" fontId="6" fillId="3" borderId="0" xfId="0" applyAlignment="1">
      <x:alignment horizontal="general" vertical="center" wrapText="1"/>
    </x:xf>
    <x:xf numFmtId="0" fontId="7" fillId="4" borderId="0" xfId="0" applyAlignment="1">
      <x:alignment horizontal="center" vertical="center"/>
    </x:xf>
    <x:xf numFmtId="164" fontId="8" fillId="5" borderId="0" xfId="0" applyAlignment="1">
      <x:alignment horizontal="center" vertical="center"/>
    </x:xf>
    <x:xf numFmtId="165" fontId="8" fillId="5" borderId="0" xfId="0" applyAlignment="1">
      <x:alignment horizontal="center" vertical="center"/>
    </x:xf>
    <x:xf numFmtId="49" fontId="8" fillId="5" borderId="0" xfId="0" applyAlignment="1">
      <x:alignment horizontal="center" vertical="center"/>
    </x:xf>
    <x:xf numFmtId="0" fontId="9" fillId="2" borderId="0" xfId="0" applyAlignment="1">
      <x:alignment horizontal="general" vertical="bottom"/>
    </x:xf>
    <x:xf numFmtId="0" fontId="10" fillId="5" borderId="0" xfId="0" applyAlignment="1">
      <x:alignment horizontal="general" vertical="bottom"/>
    </x:xf>
    <x:xf numFmtId="0" fontId="0" fillId="0" borderId="0" xfId="0" applyAlignment="1">
      <x:alignment horizontal="general" vertical="center" wrapText="1"/>
    </x:xf>
    <x:xf numFmtId="0" fontId="11" fillId="6" borderId="0" xfId="0" applyAlignment="1">
      <x:alignment horizontal="general" vertical="center" wrapText="1"/>
    </x:xf>
    <x:xf numFmtId="0" fontId="12" fillId="0" borderId="0" xfId="0" applyAlignment="1">
      <x:alignment horizontal="general" vertical="bottom"/>
    </x:xf>
    <x:xf numFmtId="0" fontId="16" fillId="2" borderId="0" xfId="0" applyAlignment="1">
      <x:alignment horizontal="general" vertical="center"/>
    </x:xf>
    <x:xf numFmtId="0" fontId="17" fillId="0" borderId="0" xfId="0" applyAlignment="1">
      <x:alignment horizontal="general" vertical="bottom"/>
    </x:xf>
    <x:xf numFmtId="0" fontId="0" fillId="0" borderId="0" xfId="0" applyAlignment="1">
      <x:alignment horizontal="general" vertical="top" wrapText="1"/>
    </x:xf>
    <x:xf numFmtId="0" fontId="18" fillId="2" borderId="1" xfId="0" applyAlignment="1">
      <x:alignment horizontal="general" vertical="center" wrapText="1"/>
    </x:xf>
    <x:xf numFmtId="166" fontId="19" fillId="7" borderId="2" xfId="0" applyAlignment="1">
      <x:alignment horizontal="center" vertical="center"/>
    </x:xf>
    <x:xf numFmtId="167" fontId="19" fillId="7" borderId="2" xfId="0" applyAlignment="1">
      <x:alignment horizontal="right" vertical="center"/>
    </x:xf>
    <x:xf numFmtId="166" fontId="19" fillId="0" borderId="2" xfId="0" applyAlignment="1">
      <x:alignment horizontal="center" vertical="center"/>
    </x:xf>
    <x:xf numFmtId="167" fontId="19" fillId="0" borderId="2" xfId="0" applyAlignment="1">
      <x:alignment horizontal="right" vertical="center"/>
    </x:xf>
    <x:xf numFmtId="0" fontId="19" fillId="7" borderId="2" xfId="0" applyAlignment="1">
      <x:alignment horizontal="left" vertical="center"/>
    </x:xf>
    <x:xf numFmtId="168" fontId="19" fillId="7" borderId="2" xfId="0" applyAlignment="1">
      <x:alignment horizontal="center" vertical="center"/>
    </x:xf>
    <x:xf numFmtId="0" fontId="19" fillId="0" borderId="2" xfId="0" applyAlignment="1">
      <x:alignment horizontal="left" vertical="center"/>
    </x:xf>
    <x:xf numFmtId="168" fontId="19" fillId="0" borderId="2" xfId="0" applyAlignment="1">
      <x:alignment horizontal="center" vertical="center"/>
    </x:xf>
    <x:xf numFmtId="0" fontId="21" fillId="2" borderId="1" xfId="0" applyAlignment="1">
      <x:alignment horizontal="general" vertical="bottom" wrapText="1"/>
    </x:xf>
    <x:xf numFmtId="168" fontId="19" fillId="7" borderId="1" xfId="0" applyAlignment="1">
      <x:alignment horizontal="center" vertical="center"/>
    </x:xf>
    <x:xf numFmtId="2" fontId="19" fillId="7" borderId="1" xfId="0" applyAlignment="1">
      <x:alignment horizontal="right" vertical="center"/>
    </x:xf>
    <x:xf numFmtId="168" fontId="19" fillId="0" borderId="1" xfId="0" applyAlignment="1">
      <x:alignment horizontal="center" vertical="center"/>
    </x:xf>
    <x:xf numFmtId="2" fontId="19" fillId="0" borderId="1" xfId="0" applyAlignment="1">
      <x:alignment horizontal="right" vertical="center"/>
    </x:xf>
    <x:xf numFmtId="0" fontId="21" fillId="2" borderId="1" xfId="0" applyAlignment="1">
      <x:alignment horizontal="general" vertical="center" wrapText="1"/>
    </x:xf>
    <x:xf numFmtId="0" fontId="19" fillId="7" borderId="1" xfId="0" applyAlignment="1">
      <x:alignment horizontal="general" vertical="top" wrapText="1"/>
    </x:xf>
    <x:xf numFmtId="0" fontId="22" fillId="0" borderId="0" xfId="20" applyAlignment="1">
      <x:alignment horizontal="general" vertical="bottom"/>
    </x:xf>
    <x:xf numFmtId="169" fontId="19" fillId="7" borderId="1" xfId="0" applyAlignment="1">
      <x:alignment horizontal="general" vertical="top" wrapText="1"/>
    </x:xf>
    <x:xf numFmtId="0" fontId="19" fillId="8" borderId="1" xfId="0" applyAlignment="1">
      <x:alignment horizontal="general" vertical="top" wrapText="1"/>
    </x:xf>
    <x:xf numFmtId="169" fontId="19" fillId="8" borderId="1" xfId="0" applyAlignment="1">
      <x:alignment horizontal="general" vertical="top" wrapText="1"/>
    </x:xf>
    <x:xf numFmtId="4" fontId="19" fillId="7" borderId="1" xfId="0" applyAlignment="1">
      <x:alignment horizontal="general" vertical="top" wrapText="1"/>
    </x:xf>
    <x:xf numFmtId="4" fontId="19" fillId="8" borderId="1" xfId="0" applyAlignment="1">
      <x:alignment horizontal="general" vertical="top" wrapText="1"/>
    </x:xf>
    <x:xf numFmtId="0" fontId="21" fillId="2" borderId="0" xfId="0" applyAlignment="1">
      <x:alignment horizontal="general" vertical="bottom" wrapText="1"/>
    </x:xf>
    <x:xf numFmtId="0" fontId="0" fillId="7" borderId="0" xfId="0" applyAlignment="1">
      <x:alignment horizontal="general" vertical="top" wrapText="1"/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2" borderId="3" xfId="0" applyNumberFormat="1" applyFont="1" applyFill="1" applyBorder="1" applyAlignment="1">
      <x:alignment horizontal="general" vertical="center"/>
    </x:xf>
    <x:xf numFmtId="0" fontId="5" fillId="0" borderId="3" xfId="0" applyNumberFormat="1" applyFont="1" applyFill="1" applyBorder="1" applyAlignment="1">
      <x:alignment horizontal="general" vertical="center"/>
    </x:xf>
    <x:xf numFmtId="0" fontId="6" fillId="3" borderId="3" xfId="0" applyNumberFormat="1" applyFont="1" applyFill="1" applyBorder="1" applyAlignment="1">
      <x:alignment horizontal="general" vertical="center" wrapText="1"/>
    </x:xf>
    <x:xf numFmtId="0" fontId="7" fillId="4" borderId="3" xfId="0" applyNumberFormat="1" applyFont="1" applyFill="1" applyBorder="1" applyAlignment="1">
      <x:alignment horizontal="center" vertical="center"/>
    </x:xf>
    <x:xf numFmtId="164" fontId="8" fillId="5" borderId="3" xfId="0" applyNumberFormat="1" applyFont="1" applyFill="1" applyBorder="1" applyAlignment="1">
      <x:alignment horizontal="center" vertical="center"/>
    </x:xf>
    <x:xf numFmtId="165" fontId="8" fillId="5" borderId="3" xfId="0" applyNumberFormat="1" applyFont="1" applyFill="1" applyBorder="1" applyAlignment="1">
      <x:alignment horizontal="center" vertical="center"/>
    </x:xf>
    <x:xf numFmtId="49" fontId="8" fillId="5" borderId="3" xfId="0" applyNumberFormat="1" applyFont="1" applyFill="1" applyBorder="1" applyAlignment="1">
      <x:alignment horizontal="center" vertical="center"/>
    </x:xf>
    <x:xf numFmtId="0" fontId="9" fillId="2" borderId="3" xfId="0" applyNumberFormat="1" applyFont="1" applyFill="1" applyBorder="1" applyAlignment="1">
      <x:alignment horizontal="general" vertical="bottom"/>
    </x:xf>
    <x:xf numFmtId="0" fontId="10" fillId="5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 applyAlignment="1">
      <x:alignment horizontal="general" vertical="center" wrapText="1"/>
    </x:xf>
    <x:xf numFmtId="0" fontId="11" fillId="6" borderId="3" xfId="0" applyNumberFormat="1" applyFont="1" applyFill="1" applyBorder="1" applyAlignment="1">
      <x:alignment horizontal="general" vertical="center" wrapText="1"/>
    </x:xf>
    <x:xf numFmtId="0" fontId="12" fillId="0" borderId="3" xfId="0" applyNumberFormat="1" applyFont="1" applyFill="1" applyBorder="1" applyAlignment="1">
      <x:alignment horizontal="general" vertical="bottom"/>
    </x:xf>
    <x:xf numFmtId="0" fontId="16" fillId="2" borderId="3" xfId="0" applyNumberFormat="1" applyFont="1" applyFill="1" applyBorder="1" applyAlignment="1">
      <x:alignment horizontal="general" vertical="center"/>
    </x:xf>
    <x:xf numFmtId="0" fontId="17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 applyAlignment="1">
      <x:alignment horizontal="general" vertical="top" wrapText="1"/>
    </x:xf>
    <x:xf numFmtId="0" fontId="18" fillId="2" borderId="4" xfId="0" applyNumberFormat="1" applyFont="1" applyFill="1" applyBorder="1" applyAlignment="1">
      <x:alignment horizontal="general" vertical="center" wrapText="1"/>
    </x:xf>
    <x:xf numFmtId="166" fontId="19" fillId="7" borderId="5" xfId="0" applyNumberFormat="1" applyFont="1" applyFill="1" applyBorder="1" applyAlignment="1">
      <x:alignment horizontal="center" vertical="center"/>
    </x:xf>
    <x:xf numFmtId="167" fontId="19" fillId="7" borderId="5" xfId="0" applyNumberFormat="1" applyFont="1" applyFill="1" applyBorder="1" applyAlignment="1">
      <x:alignment horizontal="right" vertical="center"/>
    </x:xf>
    <x:xf numFmtId="166" fontId="19" fillId="0" borderId="5" xfId="0" applyNumberFormat="1" applyFont="1" applyFill="1" applyBorder="1" applyAlignment="1">
      <x:alignment horizontal="center" vertical="center"/>
    </x:xf>
    <x:xf numFmtId="167" fontId="19" fillId="0" borderId="5" xfId="0" applyNumberFormat="1" applyFont="1" applyFill="1" applyBorder="1" applyAlignment="1">
      <x:alignment horizontal="right" vertical="center"/>
    </x:xf>
    <x:xf numFmtId="0" fontId="19" fillId="7" borderId="5" xfId="0" applyNumberFormat="1" applyFont="1" applyFill="1" applyBorder="1" applyAlignment="1">
      <x:alignment horizontal="left" vertical="center"/>
    </x:xf>
    <x:xf numFmtId="168" fontId="19" fillId="7" borderId="5" xfId="0" applyNumberFormat="1" applyFont="1" applyFill="1" applyBorder="1" applyAlignment="1">
      <x:alignment horizontal="center" vertical="center"/>
    </x:xf>
    <x:xf numFmtId="0" fontId="19" fillId="0" borderId="5" xfId="0" applyNumberFormat="1" applyFont="1" applyFill="1" applyBorder="1" applyAlignment="1">
      <x:alignment horizontal="left" vertical="center"/>
    </x:xf>
    <x:xf numFmtId="168" fontId="19" fillId="0" borderId="5" xfId="0" applyNumberFormat="1" applyFont="1" applyFill="1" applyBorder="1" applyAlignment="1">
      <x:alignment horizontal="center" vertical="center"/>
    </x:xf>
    <x:xf numFmtId="0" fontId="21" fillId="2" borderId="4" xfId="0" applyNumberFormat="1" applyFont="1" applyFill="1" applyBorder="1" applyAlignment="1">
      <x:alignment horizontal="general" vertical="bottom" wrapText="1"/>
    </x:xf>
    <x:xf numFmtId="168" fontId="19" fillId="7" borderId="4" xfId="0" applyNumberFormat="1" applyFont="1" applyFill="1" applyBorder="1" applyAlignment="1">
      <x:alignment horizontal="center" vertical="center"/>
    </x:xf>
    <x:xf numFmtId="2" fontId="19" fillId="7" borderId="4" xfId="0" applyNumberFormat="1" applyFont="1" applyFill="1" applyBorder="1" applyAlignment="1">
      <x:alignment horizontal="right" vertical="center"/>
    </x:xf>
    <x:xf numFmtId="168" fontId="19" fillId="0" borderId="4" xfId="0" applyNumberFormat="1" applyFont="1" applyFill="1" applyBorder="1" applyAlignment="1">
      <x:alignment horizontal="center" vertical="center"/>
    </x:xf>
    <x:xf numFmtId="2" fontId="19" fillId="0" borderId="4" xfId="0" applyNumberFormat="1" applyFont="1" applyFill="1" applyBorder="1" applyAlignment="1">
      <x:alignment horizontal="right" vertical="center"/>
    </x:xf>
    <x:xf numFmtId="0" fontId="21" fillId="2" borderId="4" xfId="0" applyNumberFormat="1" applyFont="1" applyFill="1" applyBorder="1" applyAlignment="1">
      <x:alignment horizontal="general" vertical="center" wrapText="1"/>
    </x:xf>
    <x:xf numFmtId="0" fontId="19" fillId="7" borderId="4" xfId="0" applyNumberFormat="1" applyFont="1" applyFill="1" applyBorder="1" applyAlignment="1">
      <x:alignment horizontal="general" vertical="top" wrapText="1"/>
    </x:xf>
    <x:xf numFmtId="0" fontId="22" fillId="0" borderId="3" xfId="0" applyNumberFormat="1" applyFont="1" applyFill="1" applyBorder="1" applyAlignment="1">
      <x:alignment horizontal="general" vertical="bottom"/>
    </x:xf>
    <x:xf numFmtId="169" fontId="19" fillId="7" borderId="4" xfId="0" applyNumberFormat="1" applyFont="1" applyFill="1" applyBorder="1" applyAlignment="1">
      <x:alignment horizontal="general" vertical="top" wrapText="1"/>
    </x:xf>
    <x:xf numFmtId="0" fontId="19" fillId="8" borderId="4" xfId="0" applyNumberFormat="1" applyFont="1" applyFill="1" applyBorder="1" applyAlignment="1">
      <x:alignment horizontal="general" vertical="top" wrapText="1"/>
    </x:xf>
    <x:xf numFmtId="169" fontId="19" fillId="8" borderId="4" xfId="0" applyNumberFormat="1" applyFont="1" applyFill="1" applyBorder="1" applyAlignment="1">
      <x:alignment horizontal="general" vertical="top" wrapText="1"/>
    </x:xf>
    <x:xf numFmtId="4" fontId="19" fillId="7" borderId="4" xfId="0" applyNumberFormat="1" applyFont="1" applyFill="1" applyBorder="1" applyAlignment="1">
      <x:alignment horizontal="general" vertical="top" wrapText="1"/>
    </x:xf>
    <x:xf numFmtId="4" fontId="19" fillId="8" borderId="4" xfId="0" applyNumberFormat="1" applyFont="1" applyFill="1" applyBorder="1" applyAlignment="1">
      <x:alignment horizontal="general" vertical="top" wrapText="1"/>
    </x:xf>
    <x:xf numFmtId="0" fontId="21" fillId="2" borderId="3" xfId="0" applyNumberFormat="1" applyFont="1" applyFill="1" applyBorder="1" applyAlignment="1">
      <x:alignment horizontal="general" vertical="bottom" wrapText="1"/>
    </x:xf>
    <x:xf numFmtId="0" fontId="0" fillId="7" borderId="3" xfId="0" applyNumberFormat="1" applyFont="1" applyFill="1" applyBorder="1" applyAlignment="1">
      <x:alignment horizontal="general" vertical="top" wrapText="1"/>
    </x:xf>
    <x:xf numFmtId="0" fontId="0" fillId="0" borderId="3" xfId="0" applyNumberFormat="1" applyFont="1" applyFill="1" applyBorder="1"/>
    <x:xf numFmtId="168" fontId="19" fillId="7" borderId="1" xfId="0" applyNumberFormat="1" applyFont="1" applyFill="1" applyBorder="1" applyAlignment="1">
      <x:alignment horizontal="general" vertical="top" wrapText="1"/>
    </x:xf>
    <x:xf numFmtId="168" fontId="19" fillId="8" borderId="1" xfId="0" applyNumberFormat="1" applyFont="1" applyFill="1" applyBorder="1" applyAlignment="1">
      <x:alignment horizontal="general" vertical="top" wrapText="1"/>
    </x:xf>
    <x:xf numFmtId="168" fontId="19" fillId="7" borderId="4" xfId="0" applyNumberFormat="1" applyFont="1" applyFill="1" applyBorder="1" applyAlignment="1">
      <x:alignment horizontal="general" vertical="top" wrapText="1"/>
    </x:xf>
    <x:xf numFmtId="168" fontId="19" fillId="8" borderId="4" xfId="0" applyNumberFormat="1" applyFont="1" applyFill="1" applyBorder="1" applyAlignment="1">
      <x:alignment horizontal="general" vertical="top" wrapText="1"/>
    </x:xf>
    <x:xf numFmtId="200" fontId="8" fillId="5" borderId="0" xfId="0" applyNumberFormat="1" applyFont="1" applyFill="1" applyBorder="1" applyAlignment="1">
      <x:alignment horizontal="center" vertical="center"/>
    </x:xf>
    <x:xf numFmtId="200" fontId="8" fillId="5" borderId="3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general" vertical="center"/>
    </x:xf>
    <x:xf numFmtId="0" fontId="0" fillId="9" borderId="0" xfId="0" applyNumberFormat="1" applyFont="1" applyFill="1" applyBorder="1" applyAlignment="1">
      <x:alignment horizontal="general" vertical="bottom"/>
    </x:xf>
    <x:xf numFmtId="0" fontId="23" fillId="9" borderId="0" xfId="0" applyNumberFormat="1" applyFont="1" applyFill="1" applyBorder="1" applyAlignment="1">
      <x:alignment horizontal="general" vertical="center"/>
    </x:xf>
    <x:xf numFmtId="0" fontId="24" fillId="9" borderId="0" xfId="0" applyNumberFormat="1" applyFont="1" applyFill="1" applyBorder="1" applyAlignment="1">
      <x:alignment horizontal="general" vertical="bottom"/>
    </x:xf>
    <x:xf numFmtId="0" fontId="23" fillId="9" borderId="0" xfId="0" applyNumberFormat="1" applyFont="1" applyFill="1" applyBorder="1" applyAlignment="1">
      <x:alignment horizontal="left" vertical="center"/>
    </x:xf>
    <x:xf numFmtId="0" fontId="24" fillId="9" borderId="0" xfId="0" applyNumberFormat="1" applyFont="1" applyFill="1" applyBorder="1" applyAlignment="1">
      <x:alignment horizontal="left" vertical="bottom"/>
    </x:xf>
    <x:xf numFmtId="0" fontId="24" fillId="9" borderId="0" xfId="0" applyNumberFormat="1" applyFont="1" applyFill="1" applyBorder="1" applyAlignment="1">
      <x:alignment horizontal="left" vertical="center"/>
    </x:xf>
    <x:xf numFmtId="0" fontId="4" fillId="9" borderId="3" xfId="0" applyNumberFormat="1" applyFont="1" applyFill="1" applyBorder="1" applyAlignment="1">
      <x:alignment horizontal="general" vertical="center"/>
    </x:xf>
    <x:xf numFmtId="0" fontId="0" fillId="9" borderId="3" xfId="0" applyNumberFormat="1" applyFont="1" applyFill="1" applyBorder="1" applyAlignment="1">
      <x:alignment horizontal="general" vertical="bottom"/>
    </x:xf>
    <x:xf numFmtId="0" fontId="23" fillId="9" borderId="3" xfId="0" applyNumberFormat="1" applyFont="1" applyFill="1" applyBorder="1" applyAlignment="1">
      <x:alignment horizontal="general" vertical="center"/>
    </x:xf>
    <x:xf numFmtId="0" fontId="24" fillId="9" borderId="3" xfId="0" applyNumberFormat="1" applyFont="1" applyFill="1" applyBorder="1" applyAlignment="1">
      <x:alignment horizontal="general" vertical="bottom"/>
    </x:xf>
    <x:xf numFmtId="0" fontId="23" fillId="9" borderId="3" xfId="0" applyNumberFormat="1" applyFont="1" applyFill="1" applyBorder="1" applyAlignment="1">
      <x:alignment horizontal="left" vertical="center"/>
    </x:xf>
    <x:xf numFmtId="0" fontId="24" fillId="9" borderId="3" xfId="0" applyNumberFormat="1" applyFont="1" applyFill="1" applyBorder="1" applyAlignment="1">
      <x:alignment horizontal="left" vertical="bottom"/>
    </x:xf>
    <x:xf numFmtId="0" fontId="24" fillId="9" borderId="3" xfId="0" applyNumberFormat="1" applyFont="1" applyFill="1" applyBorder="1" applyAlignment="1">
      <x:alignment horizontal="left" vertical="center"/>
    </x:xf>
    <x:xf numFmtId="0" fontId="23" fillId="9" borderId="0" xfId="0" applyNumberFormat="1" applyFont="1" applyFill="1" applyBorder="1" applyAlignment="1">
      <x:alignment horizontal="left" vertical="center" wrapText="1"/>
    </x:xf>
    <x:xf numFmtId="0" fontId="23" fillId="9" borderId="3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general" vertical="center"/>
    </x:xf>
    <x:xf numFmtId="0" fontId="0" fillId="10" borderId="0" xfId="0" applyNumberFormat="1" applyFont="1" applyFill="1" applyBorder="1" applyAlignment="1">
      <x:alignment horizontal="general" vertical="bottom"/>
    </x:xf>
    <x:xf numFmtId="0" fontId="25" fillId="10" borderId="0" xfId="0" applyNumberFormat="1" applyFont="1" applyFill="1" applyBorder="1" applyAlignment="1">
      <x:alignment horizontal="general" vertical="center"/>
    </x:xf>
    <x:xf numFmtId="0" fontId="26" fillId="10" borderId="0" xfId="0" applyNumberFormat="1" applyFont="1" applyFill="1" applyBorder="1" applyAlignment="1">
      <x:alignment horizontal="general" vertical="bottom"/>
    </x:xf>
    <x:xf numFmtId="0" fontId="25" fillId="10" borderId="0" xfId="0" applyNumberFormat="1" applyFont="1" applyFill="1" applyBorder="1" applyAlignment="1">
      <x:alignment horizontal="left" vertical="center"/>
    </x:xf>
    <x:xf numFmtId="0" fontId="26" fillId="10" borderId="0" xfId="0" applyNumberFormat="1" applyFont="1" applyFill="1" applyBorder="1" applyAlignment="1">
      <x:alignment horizontal="left" vertical="bottom"/>
    </x:xf>
    <x:xf numFmtId="0" fontId="26" fillId="10" borderId="0" xfId="0" applyNumberFormat="1" applyFont="1" applyFill="1" applyBorder="1" applyAlignment="1">
      <x:alignment horizontal="left" vertical="center"/>
    </x:xf>
    <x:xf numFmtId="0" fontId="5" fillId="10" borderId="3" xfId="0" applyNumberFormat="1" applyFont="1" applyFill="1" applyBorder="1" applyAlignment="1">
      <x:alignment horizontal="general" vertical="center"/>
    </x:xf>
    <x:xf numFmtId="0" fontId="0" fillId="10" borderId="3" xfId="0" applyNumberFormat="1" applyFont="1" applyFill="1" applyBorder="1" applyAlignment="1">
      <x:alignment horizontal="general" vertical="bottom"/>
    </x:xf>
    <x:xf numFmtId="0" fontId="25" fillId="10" borderId="3" xfId="0" applyNumberFormat="1" applyFont="1" applyFill="1" applyBorder="1" applyAlignment="1">
      <x:alignment horizontal="general" vertical="center"/>
    </x:xf>
    <x:xf numFmtId="0" fontId="26" fillId="10" borderId="3" xfId="0" applyNumberFormat="1" applyFont="1" applyFill="1" applyBorder="1" applyAlignment="1">
      <x:alignment horizontal="general" vertical="bottom"/>
    </x:xf>
    <x:xf numFmtId="0" fontId="25" fillId="10" borderId="3" xfId="0" applyNumberFormat="1" applyFont="1" applyFill="1" applyBorder="1" applyAlignment="1">
      <x:alignment horizontal="left" vertical="center"/>
    </x:xf>
    <x:xf numFmtId="0" fontId="26" fillId="10" borderId="3" xfId="0" applyNumberFormat="1" applyFont="1" applyFill="1" applyBorder="1" applyAlignment="1">
      <x:alignment horizontal="left" vertical="bottom"/>
    </x:xf>
    <x:xf numFmtId="0" fontId="26" fillId="10" borderId="3" xfId="0" applyNumberFormat="1" applyFont="1" applyFill="1" applyBorder="1" applyAlignment="1">
      <x:alignment horizontal="left" vertical="center"/>
    </x:xf>
    <x:xf numFmtId="0" fontId="6" fillId="11" borderId="0" xfId="0" applyNumberFormat="1" applyFont="1" applyFill="1" applyBorder="1" applyAlignment="1">
      <x:alignment horizontal="general" vertical="center" wrapText="1"/>
    </x:xf>
    <x:xf numFmtId="0" fontId="0" fillId="11" borderId="0" xfId="0" applyNumberFormat="1" applyFont="1" applyFill="1" applyBorder="1" applyAlignment="1">
      <x:alignment horizontal="general" vertical="bottom"/>
    </x:xf>
    <x:xf numFmtId="0" fontId="27" fillId="11" borderId="0" xfId="0" applyNumberFormat="1" applyFont="1" applyFill="1" applyBorder="1" applyAlignment="1">
      <x:alignment horizontal="general" vertical="center" wrapText="1"/>
    </x:xf>
    <x:xf numFmtId="0" fontId="28" fillId="11" borderId="0" xfId="0" applyNumberFormat="1" applyFont="1" applyFill="1" applyBorder="1" applyAlignment="1">
      <x:alignment horizontal="general" vertical="bottom"/>
    </x:xf>
    <x:xf numFmtId="0" fontId="28" fillId="11" borderId="0" xfId="0" applyNumberFormat="1" applyFont="1" applyFill="1" applyBorder="1" applyAlignment="1">
      <x:alignment horizontal="general" vertical="bottom" wrapText="1"/>
    </x:xf>
    <x:xf numFmtId="0" fontId="28" fillId="11" borderId="0" xfId="0" applyNumberFormat="1" applyFont="1" applyFill="1" applyBorder="1" applyAlignment="1">
      <x:alignment horizontal="general" vertical="center" wrapText="1"/>
    </x:xf>
    <x:xf numFmtId="0" fontId="6" fillId="11" borderId="3" xfId="0" applyNumberFormat="1" applyFont="1" applyFill="1" applyBorder="1" applyAlignment="1">
      <x:alignment horizontal="general" vertical="center" wrapText="1"/>
    </x:xf>
    <x:xf numFmtId="0" fontId="0" fillId="11" borderId="3" xfId="0" applyNumberFormat="1" applyFont="1" applyFill="1" applyBorder="1" applyAlignment="1">
      <x:alignment horizontal="general" vertical="bottom"/>
    </x:xf>
    <x:xf numFmtId="0" fontId="27" fillId="11" borderId="3" xfId="0" applyNumberFormat="1" applyFont="1" applyFill="1" applyBorder="1" applyAlignment="1">
      <x:alignment horizontal="general" vertical="center" wrapText="1"/>
    </x:xf>
    <x:xf numFmtId="0" fontId="28" fillId="11" borderId="3" xfId="0" applyNumberFormat="1" applyFont="1" applyFill="1" applyBorder="1" applyAlignment="1">
      <x:alignment horizontal="general" vertical="bottom"/>
    </x:xf>
    <x:xf numFmtId="0" fontId="28" fillId="11" borderId="3" xfId="0" applyNumberFormat="1" applyFont="1" applyFill="1" applyBorder="1" applyAlignment="1">
      <x:alignment horizontal="general" vertical="bottom" wrapText="1"/>
    </x:xf>
    <x:xf numFmtId="0" fontId="28" fillId="11" borderId="3" xfId="0" applyNumberFormat="1" applyFont="1" applyFill="1" applyBorder="1" applyAlignment="1">
      <x:alignment horizontal="general" vertical="center" wrapText="1"/>
    </x:xf>
    <x:xf numFmtId="0" fontId="7" fillId="12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horizontal="general" vertical="bottom"/>
    </x:xf>
    <x:xf numFmtId="0" fontId="29" fillId="12" borderId="0" xfId="0" applyNumberFormat="1" applyFont="1" applyFill="1" applyBorder="1" applyAlignment="1">
      <x:alignment horizontal="general" vertical="bottom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29" fillId="12" borderId="0" xfId="0" applyNumberFormat="1" applyFont="1" applyFill="1" applyBorder="1" applyAlignment="1">
      <x:alignment horizontal="general" vertical="bottom" wrapText="1"/>
    </x:xf>
    <x:xf numFmtId="0" fontId="29" fillId="12" borderId="0" xfId="0" applyNumberFormat="1" applyFont="1" applyFill="1" applyBorder="1" applyAlignment="1">
      <x:alignment horizontal="center" vertical="bottom" wrapText="1"/>
    </x:xf>
    <x:xf numFmtId="0" fontId="29" fillId="12" borderId="0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/>
    </x:xf>
    <x:xf numFmtId="0" fontId="0" fillId="12" borderId="3" xfId="0" applyNumberFormat="1" applyFont="1" applyFill="1" applyBorder="1" applyAlignment="1">
      <x:alignment horizontal="general" vertical="bottom"/>
    </x:xf>
    <x:xf numFmtId="0" fontId="29" fillId="12" borderId="3" xfId="0" applyNumberFormat="1" applyFont="1" applyFill="1" applyBorder="1" applyAlignment="1">
      <x:alignment horizontal="general" vertical="bottom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29" fillId="12" borderId="3" xfId="0" applyNumberFormat="1" applyFont="1" applyFill="1" applyBorder="1" applyAlignment="1">
      <x:alignment horizontal="general" vertical="bottom" wrapText="1"/>
    </x:xf>
    <x:xf numFmtId="0" fontId="29" fillId="12" borderId="3" xfId="0" applyNumberFormat="1" applyFont="1" applyFill="1" applyBorder="1" applyAlignment="1">
      <x:alignment horizontal="center" vertical="bottom" wrapText="1"/>
    </x:xf>
    <x:xf numFmtId="0" fontId="29" fillId="12" borderId="3" xfId="0" applyNumberFormat="1" applyFont="1" applyFill="1" applyBorder="1" applyAlignment="1">
      <x:alignment horizontal="center" vertical="center" wrapText="1"/>
    </x:xf>
    <x:xf numFmtId="200" fontId="8" fillId="13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horizontal="general" vertical="bottom"/>
    </x:xf>
    <x:xf numFmtId="200" fontId="30" fillId="13" borderId="0" xfId="0" applyNumberFormat="1" applyFont="1" applyFill="1" applyBorder="1" applyAlignment="1">
      <x:alignment horizontal="center" vertical="center"/>
    </x:xf>
    <x:xf numFmtId="0" fontId="31" fillId="13" borderId="0" xfId="0" applyNumberFormat="1" applyFont="1" applyFill="1" applyBorder="1" applyAlignment="1">
      <x:alignment horizontal="general" vertical="bottom"/>
    </x:xf>
    <x:xf numFmtId="200" fontId="30" fillId="13" borderId="0" xfId="0" applyNumberFormat="1" applyFont="1" applyFill="1" applyBorder="1" applyAlignment="1">
      <x:alignment horizontal="center" vertical="center" wrapText="1"/>
    </x:xf>
    <x:xf numFmtId="0" fontId="31" fillId="13" borderId="0" xfId="0" applyNumberFormat="1" applyFont="1" applyFill="1" applyBorder="1" applyAlignment="1">
      <x:alignment horizontal="general" vertical="bottom" wrapText="1"/>
    </x:xf>
    <x:xf numFmtId="0" fontId="31" fillId="13" borderId="0" xfId="0" applyNumberFormat="1" applyFont="1" applyFill="1" applyBorder="1" applyAlignment="1">
      <x:alignment horizontal="center" vertical="bottom" wrapText="1"/>
    </x:xf>
    <x:xf numFmtId="0" fontId="31" fillId="13" borderId="0" xfId="0" applyNumberFormat="1" applyFont="1" applyFill="1" applyBorder="1" applyAlignment="1">
      <x:alignment horizontal="center" vertical="center" wrapText="1"/>
    </x:xf>
    <x:xf numFmtId="200" fontId="8" fillId="13" borderId="3" xfId="0" applyNumberFormat="1" applyFont="1" applyFill="1" applyBorder="1" applyAlignment="1">
      <x:alignment horizontal="center" vertical="center"/>
    </x:xf>
    <x:xf numFmtId="0" fontId="0" fillId="13" borderId="3" xfId="0" applyNumberFormat="1" applyFont="1" applyFill="1" applyBorder="1" applyAlignment="1">
      <x:alignment horizontal="general" vertical="bottom"/>
    </x:xf>
    <x:xf numFmtId="200" fontId="30" fillId="13" borderId="3" xfId="0" applyNumberFormat="1" applyFont="1" applyFill="1" applyBorder="1" applyAlignment="1">
      <x:alignment horizontal="center" vertical="center"/>
    </x:xf>
    <x:xf numFmtId="0" fontId="31" fillId="13" borderId="3" xfId="0" applyNumberFormat="1" applyFont="1" applyFill="1" applyBorder="1" applyAlignment="1">
      <x:alignment horizontal="general" vertical="bottom"/>
    </x:xf>
    <x:xf numFmtId="200" fontId="30" fillId="13" borderId="3" xfId="0" applyNumberFormat="1" applyFont="1" applyFill="1" applyBorder="1" applyAlignment="1">
      <x:alignment horizontal="center" vertical="center" wrapText="1"/>
    </x:xf>
    <x:xf numFmtId="0" fontId="31" fillId="13" borderId="3" xfId="0" applyNumberFormat="1" applyFont="1" applyFill="1" applyBorder="1" applyAlignment="1">
      <x:alignment horizontal="general" vertical="bottom" wrapText="1"/>
    </x:xf>
    <x:xf numFmtId="0" fontId="31" fillId="13" borderId="3" xfId="0" applyNumberFormat="1" applyFont="1" applyFill="1" applyBorder="1" applyAlignment="1">
      <x:alignment horizontal="center" vertical="bottom" wrapText="1"/>
    </x:xf>
    <x:xf numFmtId="0" fontId="31" fillId="13" borderId="3" xfId="0" applyNumberFormat="1" applyFont="1" applyFill="1" applyBorder="1" applyAlignment="1">
      <x:alignment horizontal="center" vertical="center" wrapText="1"/>
    </x:xf>
    <x:xf numFmtId="49" fontId="8" fillId="13" borderId="0" xfId="0" applyNumberFormat="1" applyFont="1" applyFill="1" applyBorder="1" applyAlignment="1">
      <x:alignment horizontal="center" vertical="center"/>
    </x:xf>
    <x:xf numFmtId="49" fontId="30" fillId="13" borderId="0" xfId="0" applyNumberFormat="1" applyFont="1" applyFill="1" applyBorder="1" applyAlignment="1">
      <x:alignment horizontal="center" vertical="center"/>
    </x:xf>
    <x:xf numFmtId="49" fontId="30" fillId="13" borderId="0" xfId="0" applyNumberFormat="1" applyFont="1" applyFill="1" applyBorder="1" applyAlignment="1">
      <x:alignment horizontal="center" vertical="center" wrapText="1"/>
    </x:xf>
    <x:xf numFmtId="49" fontId="8" fillId="13" borderId="3" xfId="0" applyNumberFormat="1" applyFont="1" applyFill="1" applyBorder="1" applyAlignment="1">
      <x:alignment horizontal="center" vertical="center"/>
    </x:xf>
    <x:xf numFmtId="49" fontId="30" fillId="13" borderId="3" xfId="0" applyNumberFormat="1" applyFont="1" applyFill="1" applyBorder="1" applyAlignment="1">
      <x:alignment horizontal="center" vertical="center"/>
    </x:xf>
    <x:xf numFmtId="49" fontId="30" fillId="13" borderId="3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general" vertical="bottom"/>
    </x:xf>
    <x:xf numFmtId="0" fontId="32" fillId="9" borderId="0" xfId="0" applyNumberFormat="1" applyFont="1" applyFill="1" applyBorder="1" applyAlignment="1">
      <x:alignment horizontal="general" vertical="bottom"/>
    </x:xf>
    <x:xf numFmtId="0" fontId="9" fillId="9" borderId="0" xfId="0" applyNumberFormat="1" applyFont="1" applyFill="1" applyBorder="1" applyAlignment="1">
      <x:alignment horizontal="left" vertical="bottom"/>
    </x:xf>
    <x:xf numFmtId="0" fontId="32" fillId="9" borderId="0" xfId="0" applyNumberFormat="1" applyFont="1" applyFill="1" applyBorder="1" applyAlignment="1">
      <x:alignment horizontal="left" vertical="bottom"/>
    </x:xf>
    <x:xf numFmtId="0" fontId="9" fillId="9" borderId="0" xfId="0" applyNumberFormat="1" applyFont="1" applyFill="1" applyBorder="1" applyAlignment="1">
      <x:alignment horizontal="left" vertical="center"/>
    </x:xf>
    <x:xf numFmtId="0" fontId="32" fillId="9" borderId="0" xfId="0" applyNumberFormat="1" applyFont="1" applyFill="1" applyBorder="1" applyAlignment="1">
      <x:alignment horizontal="left" vertical="center"/>
    </x:xf>
    <x:xf numFmtId="0" fontId="9" fillId="9" borderId="3" xfId="0" applyNumberFormat="1" applyFont="1" applyFill="1" applyBorder="1" applyAlignment="1">
      <x:alignment horizontal="general" vertical="bottom"/>
    </x:xf>
    <x:xf numFmtId="0" fontId="32" fillId="9" borderId="3" xfId="0" applyNumberFormat="1" applyFont="1" applyFill="1" applyBorder="1" applyAlignment="1">
      <x:alignment horizontal="general" vertical="bottom"/>
    </x:xf>
    <x:xf numFmtId="0" fontId="9" fillId="9" borderId="3" xfId="0" applyNumberFormat="1" applyFont="1" applyFill="1" applyBorder="1" applyAlignment="1">
      <x:alignment horizontal="left" vertical="bottom"/>
    </x:xf>
    <x:xf numFmtId="0" fontId="32" fillId="9" borderId="3" xfId="0" applyNumberFormat="1" applyFont="1" applyFill="1" applyBorder="1" applyAlignment="1">
      <x:alignment horizontal="left" vertical="bottom"/>
    </x:xf>
    <x:xf numFmtId="0" fontId="9" fillId="9" borderId="3" xfId="0" applyNumberFormat="1" applyFont="1" applyFill="1" applyBorder="1" applyAlignment="1">
      <x:alignment horizontal="left" vertical="center"/>
    </x:xf>
    <x:xf numFmtId="0" fontId="32" fillId="9" borderId="3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 applyAlignment="1">
      <x:alignment horizontal="general" vertical="bottom"/>
    </x:xf>
    <x:xf numFmtId="0" fontId="33" fillId="10" borderId="0" xfId="0" applyNumberFormat="1" applyFont="1" applyFill="1" applyBorder="1" applyAlignment="1">
      <x:alignment horizontal="general" vertical="bottom"/>
    </x:xf>
    <x:xf numFmtId="0" fontId="34" fillId="10" borderId="0" xfId="0" applyNumberFormat="1" applyFont="1" applyFill="1" applyBorder="1" applyAlignment="1">
      <x:alignment horizontal="general" vertical="bottom"/>
    </x:xf>
    <x:xf numFmtId="0" fontId="33" fillId="10" borderId="0" xfId="0" applyNumberFormat="1" applyFont="1" applyFill="1" applyBorder="1" applyAlignment="1">
      <x:alignment horizontal="general" vertical="bottom" wrapText="1"/>
    </x:xf>
    <x:xf numFmtId="0" fontId="34" fillId="10" borderId="0" xfId="0" applyNumberFormat="1" applyFont="1" applyFill="1" applyBorder="1" applyAlignment="1">
      <x:alignment horizontal="general" vertical="bottom" wrapText="1"/>
    </x:xf>
    <x:xf numFmtId="0" fontId="33" fillId="10" borderId="0" xfId="0" applyNumberFormat="1" applyFont="1" applyFill="1" applyBorder="1" applyAlignment="1">
      <x:alignment horizontal="general" vertical="center" wrapText="1"/>
    </x:xf>
    <x:xf numFmtId="0" fontId="34" fillId="10" borderId="0" xfId="0" applyNumberFormat="1" applyFont="1" applyFill="1" applyBorder="1" applyAlignment="1">
      <x:alignment horizontal="general" vertical="center" wrapText="1"/>
    </x:xf>
    <x:xf numFmtId="0" fontId="10" fillId="10" borderId="3" xfId="0" applyNumberFormat="1" applyFont="1" applyFill="1" applyBorder="1" applyAlignment="1">
      <x:alignment horizontal="general" vertical="bottom"/>
    </x:xf>
    <x:xf numFmtId="0" fontId="33" fillId="10" borderId="3" xfId="0" applyNumberFormat="1" applyFont="1" applyFill="1" applyBorder="1" applyAlignment="1">
      <x:alignment horizontal="general" vertical="bottom"/>
    </x:xf>
    <x:xf numFmtId="0" fontId="34" fillId="10" borderId="3" xfId="0" applyNumberFormat="1" applyFont="1" applyFill="1" applyBorder="1" applyAlignment="1">
      <x:alignment horizontal="general" vertical="bottom"/>
    </x:xf>
    <x:xf numFmtId="0" fontId="33" fillId="10" borderId="3" xfId="0" applyNumberFormat="1" applyFont="1" applyFill="1" applyBorder="1" applyAlignment="1">
      <x:alignment horizontal="general" vertical="bottom" wrapText="1"/>
    </x:xf>
    <x:xf numFmtId="0" fontId="34" fillId="10" borderId="3" xfId="0" applyNumberFormat="1" applyFont="1" applyFill="1" applyBorder="1" applyAlignment="1">
      <x:alignment horizontal="general" vertical="bottom" wrapText="1"/>
    </x:xf>
    <x:xf numFmtId="0" fontId="33" fillId="10" borderId="3" xfId="0" applyNumberFormat="1" applyFont="1" applyFill="1" applyBorder="1" applyAlignment="1">
      <x:alignment horizontal="general" vertical="center" wrapText="1"/>
    </x:xf>
    <x:xf numFmtId="0" fontId="34" fillId="10" borderId="3" xfId="0" applyNumberFormat="1" applyFont="1" applyFill="1" applyBorder="1" applyAlignment="1">
      <x:alignment horizontal="general" vertical="center" wrapText="1"/>
    </x:xf>
    <x:xf numFmtId="0" fontId="0" fillId="14" borderId="0" xfId="0" applyNumberFormat="1" applyFont="1" applyFill="1" applyBorder="1" applyAlignment="1">
      <x:alignment horizontal="general" vertical="center" wrapText="1"/>
    </x:xf>
    <x:xf numFmtId="0" fontId="0" fillId="14" borderId="0" xfId="0" applyNumberFormat="1" applyFont="1" applyFill="1" applyBorder="1" applyAlignment="1">
      <x:alignment horizontal="general" vertical="bottom"/>
    </x:xf>
    <x:xf numFmtId="0" fontId="35" fillId="14" borderId="0" xfId="0" applyNumberFormat="1" applyFont="1" applyFill="1" applyBorder="1" applyAlignment="1">
      <x:alignment horizontal="general" vertical="center" wrapText="1"/>
    </x:xf>
    <x:xf numFmtId="0" fontId="35" fillId="14" borderId="0" xfId="0" applyNumberFormat="1" applyFont="1" applyFill="1" applyBorder="1" applyAlignment="1">
      <x:alignment horizontal="general" vertical="bottom"/>
    </x:xf>
    <x:xf numFmtId="0" fontId="35" fillId="14" borderId="0" xfId="0" applyNumberFormat="1" applyFont="1" applyFill="1" applyBorder="1" applyAlignment="1">
      <x:alignment horizontal="general" vertical="bottom" wrapText="1"/>
    </x:xf>
    <x:xf numFmtId="0" fontId="0" fillId="14" borderId="3" xfId="0" applyNumberFormat="1" applyFont="1" applyFill="1" applyBorder="1" applyAlignment="1">
      <x:alignment horizontal="general" vertical="center" wrapText="1"/>
    </x:xf>
    <x:xf numFmtId="0" fontId="0" fillId="14" borderId="3" xfId="0" applyNumberFormat="1" applyFont="1" applyFill="1" applyBorder="1" applyAlignment="1">
      <x:alignment horizontal="general" vertical="bottom"/>
    </x:xf>
    <x:xf numFmtId="0" fontId="35" fillId="14" borderId="3" xfId="0" applyNumberFormat="1" applyFont="1" applyFill="1" applyBorder="1" applyAlignment="1">
      <x:alignment horizontal="general" vertical="center" wrapText="1"/>
    </x:xf>
    <x:xf numFmtId="0" fontId="35" fillId="14" borderId="3" xfId="0" applyNumberFormat="1" applyFont="1" applyFill="1" applyBorder="1" applyAlignment="1">
      <x:alignment horizontal="general" vertical="bottom"/>
    </x:xf>
    <x:xf numFmtId="0" fontId="35" fillId="14" borderId="3" xfId="0" applyNumberFormat="1" applyFont="1" applyFill="1" applyBorder="1" applyAlignment="1">
      <x:alignment horizontal="general" vertical="bottom" wrapText="1"/>
    </x:xf>
    <x:xf numFmtId="0" fontId="11" fillId="14" borderId="0" xfId="0" applyNumberFormat="1" applyFont="1" applyFill="1" applyBorder="1" applyAlignment="1">
      <x:alignment horizontal="general" vertical="center" wrapText="1"/>
    </x:xf>
    <x:xf numFmtId="0" fontId="36" fillId="14" borderId="0" xfId="0" applyNumberFormat="1" applyFont="1" applyFill="1" applyBorder="1" applyAlignment="1">
      <x:alignment horizontal="general" vertical="center" wrapText="1"/>
    </x:xf>
    <x:xf numFmtId="0" fontId="37" fillId="14" borderId="0" xfId="0" applyNumberFormat="1" applyFont="1" applyFill="1" applyBorder="1" applyAlignment="1">
      <x:alignment horizontal="general" vertical="bottom"/>
    </x:xf>
    <x:xf numFmtId="0" fontId="37" fillId="14" borderId="0" xfId="0" applyNumberFormat="1" applyFont="1" applyFill="1" applyBorder="1" applyAlignment="1">
      <x:alignment horizontal="general" vertical="bottom" wrapText="1"/>
    </x:xf>
    <x:xf numFmtId="0" fontId="37" fillId="14" borderId="0" xfId="0" applyNumberFormat="1" applyFont="1" applyFill="1" applyBorder="1" applyAlignment="1">
      <x:alignment horizontal="general" vertical="center" wrapText="1"/>
    </x:xf>
    <x:xf numFmtId="0" fontId="11" fillId="14" borderId="3" xfId="0" applyNumberFormat="1" applyFont="1" applyFill="1" applyBorder="1" applyAlignment="1">
      <x:alignment horizontal="general" vertical="center" wrapText="1"/>
    </x:xf>
    <x:xf numFmtId="0" fontId="36" fillId="14" borderId="3" xfId="0" applyNumberFormat="1" applyFont="1" applyFill="1" applyBorder="1" applyAlignment="1">
      <x:alignment horizontal="general" vertical="center" wrapText="1"/>
    </x:xf>
    <x:xf numFmtId="0" fontId="37" fillId="14" borderId="3" xfId="0" applyNumberFormat="1" applyFont="1" applyFill="1" applyBorder="1" applyAlignment="1">
      <x:alignment horizontal="general" vertical="bottom"/>
    </x:xf>
    <x:xf numFmtId="0" fontId="37" fillId="14" borderId="3" xfId="0" applyNumberFormat="1" applyFont="1" applyFill="1" applyBorder="1" applyAlignment="1">
      <x:alignment horizontal="general" vertical="bottom" wrapText="1"/>
    </x:xf>
    <x:xf numFmtId="0" fontId="37" fillId="14" borderId="3" xfId="0" applyNumberFormat="1" applyFont="1" applyFill="1" applyBorder="1" applyAlignment="1">
      <x:alignment horizontal="general" vertical="center" wrapText="1"/>
    </x:xf>
    <x:xf numFmtId="0" fontId="12" fillId="9" borderId="0" xfId="0" applyNumberFormat="1" applyFont="1" applyFill="1" applyBorder="1" applyAlignment="1">
      <x:alignment horizontal="general" vertical="bottom"/>
    </x:xf>
    <x:xf numFmtId="0" fontId="38" fillId="9" borderId="0" xfId="0" applyNumberFormat="1" applyFont="1" applyFill="1" applyBorder="1" applyAlignment="1">
      <x:alignment horizontal="general" vertical="bottom"/>
    </x:xf>
    <x:xf numFmtId="0" fontId="39" fillId="9" borderId="0" xfId="0" applyNumberFormat="1" applyFont="1" applyFill="1" applyBorder="1" applyAlignment="1">
      <x:alignment horizontal="general" vertical="bottom"/>
    </x:xf>
    <x:xf numFmtId="0" fontId="38" fillId="9" borderId="0" xfId="0" applyNumberFormat="1" applyFont="1" applyFill="1" applyBorder="1" applyAlignment="1">
      <x:alignment horizontal="general" vertical="bottom" wrapText="1"/>
    </x:xf>
    <x:xf numFmtId="0" fontId="39" fillId="9" borderId="0" xfId="0" applyNumberFormat="1" applyFont="1" applyFill="1" applyBorder="1" applyAlignment="1">
      <x:alignment horizontal="general" vertical="bottom" wrapText="1"/>
    </x:xf>
    <x:xf numFmtId="0" fontId="38" fillId="9" borderId="0" xfId="0" applyNumberFormat="1" applyFont="1" applyFill="1" applyBorder="1" applyAlignment="1">
      <x:alignment horizontal="general" vertical="center" wrapText="1"/>
    </x:xf>
    <x:xf numFmtId="0" fontId="39" fillId="9" borderId="0" xfId="0" applyNumberFormat="1" applyFont="1" applyFill="1" applyBorder="1" applyAlignment="1">
      <x:alignment horizontal="general" vertical="center" wrapText="1"/>
    </x:xf>
    <x:xf numFmtId="0" fontId="12" fillId="9" borderId="3" xfId="0" applyNumberFormat="1" applyFont="1" applyFill="1" applyBorder="1" applyAlignment="1">
      <x:alignment horizontal="general" vertical="bottom"/>
    </x:xf>
    <x:xf numFmtId="0" fontId="38" fillId="9" borderId="3" xfId="0" applyNumberFormat="1" applyFont="1" applyFill="1" applyBorder="1" applyAlignment="1">
      <x:alignment horizontal="general" vertical="bottom"/>
    </x:xf>
    <x:xf numFmtId="0" fontId="39" fillId="9" borderId="3" xfId="0" applyNumberFormat="1" applyFont="1" applyFill="1" applyBorder="1" applyAlignment="1">
      <x:alignment horizontal="general" vertical="bottom"/>
    </x:xf>
    <x:xf numFmtId="0" fontId="38" fillId="9" borderId="3" xfId="0" applyNumberFormat="1" applyFont="1" applyFill="1" applyBorder="1" applyAlignment="1">
      <x:alignment horizontal="general" vertical="bottom" wrapText="1"/>
    </x:xf>
    <x:xf numFmtId="0" fontId="39" fillId="9" borderId="3" xfId="0" applyNumberFormat="1" applyFont="1" applyFill="1" applyBorder="1" applyAlignment="1">
      <x:alignment horizontal="general" vertical="bottom" wrapText="1"/>
    </x:xf>
    <x:xf numFmtId="0" fontId="38" fillId="9" borderId="3" xfId="0" applyNumberFormat="1" applyFont="1" applyFill="1" applyBorder="1" applyAlignment="1">
      <x:alignment horizontal="general" vertical="center" wrapText="1"/>
    </x:xf>
    <x:xf numFmtId="0" fontId="39" fillId="9" borderId="3" xfId="0" applyNumberFormat="1" applyFont="1" applyFill="1" applyBorder="1" applyAlignment="1">
      <x:alignment horizontal="general" vertical="center" wrapText="1"/>
    </x:xf>
    <x:xf numFmtId="201" fontId="19" fillId="7" borderId="2" xfId="0" applyNumberFormat="1" applyFont="1" applyFill="1" applyBorder="1" applyAlignment="1">
      <x:alignment horizontal="right" vertical="center"/>
    </x:xf>
    <x:xf numFmtId="201" fontId="19" fillId="0" borderId="2" xfId="0" applyNumberFormat="1" applyFont="1" applyFill="1" applyBorder="1" applyAlignment="1">
      <x:alignment horizontal="right" vertical="center"/>
    </x:xf>
    <x:xf numFmtId="201" fontId="19" fillId="7" borderId="5" xfId="0" applyNumberFormat="1" applyFont="1" applyFill="1" applyBorder="1" applyAlignment="1">
      <x:alignment horizontal="right" vertical="center"/>
    </x:xf>
    <x:xf numFmtId="201" fontId="19" fillId="0" borderId="5" xfId="0" applyNumberFormat="1" applyFont="1" applyFill="1" applyBorder="1" applyAlignment="1">
      <x:alignment horizontal="right" vertical="center"/>
    </x:xf>
    <x:xf numFmtId="49" fontId="40" fillId="13" borderId="0" xfId="0" applyNumberFormat="1" applyFont="1" applyFill="1" applyBorder="1" applyAlignment="1">
      <x:alignment horizontal="center" vertical="center" wrapText="1"/>
    </x:xf>
    <x:xf numFmtId="49" fontId="40" fillId="13" borderId="3" xfId="0" applyNumberFormat="1" applyFont="1" applyFill="1" applyBorder="1" applyAlignment="1">
      <x:alignment horizontal="center" vertical="center" wrapText="1"/>
    </x:xf>
  </x:cellXfs>
  <x:cellStyles count="7">
    <x:cellStyle name="Normal" xfId="0"/>
    <x:cellStyle name="Comma" xfId="1"/>
    <x:cellStyle name="Comma [0]" xfId="2"/>
    <x:cellStyle name="Currency" xfId="3"/>
    <x:cellStyle name="Currency [0]" xfId="4"/>
    <x:cellStyle name="Percent" xfId="5"/>
    <x:cellStyle name="*unknown*" xfId="6"/>
  </x:cellStyles>
  <x:dxfs count="8">
    <x:dxf>
      <x:fill>
        <x:patternFill>
          <x:bgColor rgb="FF142B4A"/>
        </x:patternFill>
      </x:fill>
    </x:dxf>
    <x:dxf>
      <x:fill>
        <x:patternFill>
          <x:bgColor rgb="FFF6F9FC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0000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5A12"/>
      <x:rgbColor rgb="FF800080"/>
      <x:rgbColor rgb="FF168C8C"/>
      <x:rgbColor rgb="FFB3C992"/>
      <x:rgbColor rgb="FF878787"/>
      <x:rgbColor rgb="FF9999FF"/>
      <x:rgbColor rgb="FF993366"/>
      <x:rgbColor rgb="FFFFF2D6"/>
      <x:rgbColor rgb="FFEAF1F8"/>
      <x:rgbColor rgb="FF660066"/>
      <x:rgbColor rgb="FFFF8080"/>
      <x:rgbColor rgb="FF1F5A94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3EAF1"/>
      <x:rgbColor rgb="FFF2F2F2"/>
      <x:rgbColor rgb="FFF4F7FA"/>
      <x:rgbColor rgb="FF99CCFF"/>
      <x:rgbColor rgb="FFFF99CC"/>
      <x:rgbColor rgb="FFCC99FF"/>
      <x:rgbColor rgb="FFF6F9FC"/>
      <x:rgbColor rgb="FF3366FF"/>
      <x:rgbColor rgb="FF33CCCC"/>
      <x:rgbColor rgb="FF99CC00"/>
      <x:rgbColor rgb="FFFFCC00"/>
      <x:rgbColor rgb="FFD8A13A"/>
      <x:rgbColor rgb="FFFF6600"/>
      <x:rgbColor rgb="FF68788A"/>
      <x:rgbColor rgb="FF87A44B"/>
      <x:rgbColor rgb="FF142B4A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9f10dff5f4f97" /><Relationship Type="http://schemas.openxmlformats.org/officeDocument/2006/relationships/theme" Target="/xl/theme/theme1.xml" Id="R37abd2d4e4194de6" /><Relationship Type="http://schemas.openxmlformats.org/officeDocument/2006/relationships/sharedStrings" Target="/xl/sharedStrings.xml" Id="R48a8b4203f984a8c" /><Relationship Type="http://schemas.openxmlformats.org/officeDocument/2006/relationships/worksheet" Target="/xl/worksheets/sheet1.xml" Id="R1ef3a4578067483e" /><Relationship Type="http://schemas.openxmlformats.org/officeDocument/2006/relationships/worksheet" Target="/xl/worksheets/sheet2.xml" Id="R90bb601d3f234282" /><Relationship Type="http://schemas.openxmlformats.org/officeDocument/2006/relationships/worksheet" Target="/xl/worksheets/sheet3.xml" Id="R962f1603e8ab4659" /><Relationship Type="http://schemas.openxmlformats.org/officeDocument/2006/relationships/worksheet" Target="/xl/worksheets/sheet4.xml" Id="R2aa3db114a4746cf" /><Relationship Type="http://schemas.openxmlformats.org/officeDocument/2006/relationships/worksheet" Target="/xl/worksheets/sheet5.xml" Id="Rf5ea737855a84805" /><Relationship Type="http://schemas.openxmlformats.org/officeDocument/2006/relationships/worksheet" Target="/xl/worksheets/sheet6.xml" Id="R4219f8b17ee340ef" /><Relationship Type="http://schemas.openxmlformats.org/officeDocument/2006/relationships/worksheet" Target="/xl/worksheets/sheet7.xml" Id="Raf27242055d742ec" /><Relationship Type="http://schemas.microsoft.com/office/2017/10/relationships/person" Target="/xl/persons/person.xml" Id="Rce80414c4c134c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05daa026be4ad2" /><Relationship Type="http://schemas.openxmlformats.org/officeDocument/2006/relationships/chart" Target="/xl/drawings/charts/chart2.xml" Id="R65f45c9b0d4a414f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IPCA Brasil e Meta Selic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'02 Mensal'!B1</c:f>
              <c:strCache>
                <c:ptCount val="1"/>
                <c:pt idx="0">
                  <c:v>IPCA Brasil (m/m %)</c:v>
                </c:pt>
              </c:strCache>
            </c:strRef>
          </c:tx>
          <c:spPr>
            <a:solidFill xmlns:a="http://schemas.openxmlformats.org/drawingml/2006/main">
              <a:srgbClr val="168C8C"/>
            </a:solidFill>
            <a:ln xmlns:a="http://schemas.openxmlformats.org/drawingml/2006/main" w="24120">
              <a:solidFill>
                <a:srgbClr val="168C8C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'01 Dashboard'!$P$1:$P$60</c:f>
              <c:strCache>
                <c:ptCount val="60"/>
                <c:pt idx="0">
                  <c:v>Jan/21</c:v>
                </c:pt>
                <c:pt idx="1">
                  <c:v>Feb/21</c:v>
                </c:pt>
                <c:pt idx="2">
                  <c:v>Mar/21</c:v>
                </c:pt>
                <c:pt idx="3">
                  <c:v>Apr/21</c:v>
                </c:pt>
                <c:pt idx="4">
                  <c:v>May/21</c:v>
                </c:pt>
                <c:pt idx="5">
                  <c:v>Jun/21</c:v>
                </c:pt>
                <c:pt idx="6">
                  <c:v>Jul/21</c:v>
                </c:pt>
                <c:pt idx="7">
                  <c:v>Aug/21</c:v>
                </c:pt>
                <c:pt idx="8">
                  <c:v>Sep/21</c:v>
                </c:pt>
                <c:pt idx="9">
                  <c:v>Oct/21</c:v>
                </c:pt>
                <c:pt idx="10">
                  <c:v>Nov/21</c:v>
                </c:pt>
                <c:pt idx="11">
                  <c:v>Dec/21</c:v>
                </c:pt>
                <c:pt idx="12">
                  <c:v>Jan/22</c:v>
                </c:pt>
                <c:pt idx="13">
                  <c:v>Feb/22</c:v>
                </c:pt>
                <c:pt idx="14">
                  <c:v>Mar/22</c:v>
                </c:pt>
                <c:pt idx="15">
                  <c:v>Apr/22</c:v>
                </c:pt>
                <c:pt idx="16">
                  <c:v>May/22</c:v>
                </c:pt>
                <c:pt idx="17">
                  <c:v>Jun/22</c:v>
                </c:pt>
                <c:pt idx="18">
                  <c:v>Jul/22</c:v>
                </c:pt>
                <c:pt idx="19">
                  <c:v>Aug/22</c:v>
                </c:pt>
                <c:pt idx="20">
                  <c:v>Sep/22</c:v>
                </c:pt>
                <c:pt idx="21">
                  <c:v>Oct/22</c:v>
                </c:pt>
                <c:pt idx="22">
                  <c:v>Nov/22</c:v>
                </c:pt>
                <c:pt idx="23">
                  <c:v>Dec/22</c:v>
                </c:pt>
                <c:pt idx="24">
                  <c:v>Jan/23</c:v>
                </c:pt>
                <c:pt idx="25">
                  <c:v>Feb/23</c:v>
                </c:pt>
                <c:pt idx="26">
                  <c:v>Mar/23</c:v>
                </c:pt>
                <c:pt idx="27">
                  <c:v>Apr/23</c:v>
                </c:pt>
                <c:pt idx="28">
                  <c:v>May/23</c:v>
                </c:pt>
                <c:pt idx="29">
                  <c:v>Jun/23</c:v>
                </c:pt>
                <c:pt idx="30">
                  <c:v>Jul/23</c:v>
                </c:pt>
                <c:pt idx="31">
                  <c:v>Aug/23</c:v>
                </c:pt>
                <c:pt idx="32">
                  <c:v>Sep/23</c:v>
                </c:pt>
                <c:pt idx="33">
                  <c:v>Oct/23</c:v>
                </c:pt>
                <c:pt idx="34">
                  <c:v>Nov/23</c:v>
                </c:pt>
                <c:pt idx="35">
                  <c:v>Dec/23</c:v>
                </c:pt>
                <c:pt idx="36">
                  <c:v>Jan/24</c:v>
                </c:pt>
                <c:pt idx="37">
                  <c:v>Feb/24</c:v>
                </c:pt>
                <c:pt idx="38">
                  <c:v>Mar/24</c:v>
                </c:pt>
                <c:pt idx="39">
                  <c:v>Apr/24</c:v>
                </c:pt>
                <c:pt idx="40">
                  <c:v>May/24</c:v>
                </c:pt>
                <c:pt idx="41">
                  <c:v>Jun/24</c:v>
                </c:pt>
                <c:pt idx="42">
                  <c:v>Jul/24</c:v>
                </c:pt>
                <c:pt idx="43">
                  <c:v>Aug/24</c:v>
                </c:pt>
                <c:pt idx="44">
                  <c:v>Sep/24</c:v>
                </c:pt>
                <c:pt idx="45">
                  <c:v>Oct/24</c:v>
                </c:pt>
                <c:pt idx="46">
                  <c:v>Nov/24</c:v>
                </c:pt>
                <c:pt idx="47">
                  <c:v>Dec/24</c:v>
                </c:pt>
                <c:pt idx="48">
                  <c:v>Jan/25</c:v>
                </c:pt>
                <c:pt idx="49">
                  <c:v>Feb/25</c:v>
                </c:pt>
                <c:pt idx="50">
                  <c:v>Mar/25</c:v>
                </c:pt>
                <c:pt idx="51">
                  <c:v>Apr/25</c:v>
                </c:pt>
                <c:pt idx="52">
                  <c:v>May/25</c:v>
                </c:pt>
                <c:pt idx="53">
                  <c:v>Jun/25</c:v>
                </c:pt>
                <c:pt idx="54">
                  <c:v>Jul/25</c:v>
                </c:pt>
                <c:pt idx="55">
                  <c:v>Aug/25</c:v>
                </c:pt>
                <c:pt idx="56">
                  <c:v>Sep/25</c:v>
                </c:pt>
                <c:pt idx="57">
                  <c:v>Oct/25</c:v>
                </c:pt>
                <c:pt idx="58">
                  <c:v>Nov/25</c:v>
                </c:pt>
                <c:pt idx="59">
                  <c:v>Dec/25</c:v>
                </c:pt>
              </c:strCache>
            </c:strRef>
          </c:cat>
          <c:val>
            <c:numRef>
              <c:f>'02 Mensal'!$B$2:$B$61</c:f>
              <c:numCache>
                <c:formatCode>0.00;[RED]\-0.00;\–</c:formatCode>
                <c:ptCount val="60"/>
                <c:pt idx="0">
                  <c:v>0.25</c:v>
                </c:pt>
                <c:pt idx="1">
                  <c:v>0.86</c:v>
                </c:pt>
                <c:pt idx="2">
                  <c:v>0.93</c:v>
                </c:pt>
                <c:pt idx="3">
                  <c:v>0.31</c:v>
                </c:pt>
                <c:pt idx="4">
                  <c:v>0.83</c:v>
                </c:pt>
                <c:pt idx="5">
                  <c:v>0.53</c:v>
                </c:pt>
                <c:pt idx="6">
                  <c:v>0.96</c:v>
                </c:pt>
                <c:pt idx="7">
                  <c:v>0.87</c:v>
                </c:pt>
                <c:pt idx="8">
                  <c:v>1.16</c:v>
                </c:pt>
                <c:pt idx="9">
                  <c:v>1.25</c:v>
                </c:pt>
                <c:pt idx="10">
                  <c:v>0.95</c:v>
                </c:pt>
                <c:pt idx="11">
                  <c:v>0.73</c:v>
                </c:pt>
                <c:pt idx="12">
                  <c:v>0.54</c:v>
                </c:pt>
                <c:pt idx="13">
                  <c:v>1.01</c:v>
                </c:pt>
                <c:pt idx="14">
                  <c:v>1.62</c:v>
                </c:pt>
                <c:pt idx="15">
                  <c:v>1.06</c:v>
                </c:pt>
                <c:pt idx="16">
                  <c:v>0.47</c:v>
                </c:pt>
                <c:pt idx="17">
                  <c:v>0.67</c:v>
                </c:pt>
                <c:pt idx="18">
                  <c:v>-0.68</c:v>
                </c:pt>
                <c:pt idx="19">
                  <c:v>-0.36</c:v>
                </c:pt>
                <c:pt idx="20">
                  <c:v>-0.29</c:v>
                </c:pt>
                <c:pt idx="21">
                  <c:v>0.59</c:v>
                </c:pt>
                <c:pt idx="22">
                  <c:v>0.41</c:v>
                </c:pt>
                <c:pt idx="23">
                  <c:v>0.62</c:v>
                </c:pt>
                <c:pt idx="24">
                  <c:v>0.53</c:v>
                </c:pt>
                <c:pt idx="25">
                  <c:v>0.84</c:v>
                </c:pt>
                <c:pt idx="26">
                  <c:v>0.71</c:v>
                </c:pt>
                <c:pt idx="27">
                  <c:v>0.61</c:v>
                </c:pt>
                <c:pt idx="28">
                  <c:v>0.23</c:v>
                </c:pt>
                <c:pt idx="29">
                  <c:v>-0.08</c:v>
                </c:pt>
                <c:pt idx="30">
                  <c:v>0.12</c:v>
                </c:pt>
                <c:pt idx="31">
                  <c:v>0.23</c:v>
                </c:pt>
                <c:pt idx="32">
                  <c:v>0.26</c:v>
                </c:pt>
                <c:pt idx="33">
                  <c:v>0.24</c:v>
                </c:pt>
                <c:pt idx="34">
                  <c:v>0.28</c:v>
                </c:pt>
                <c:pt idx="35">
                  <c:v>0.56</c:v>
                </c:pt>
                <c:pt idx="36">
                  <c:v>0.42</c:v>
                </c:pt>
                <c:pt idx="37">
                  <c:v>0.83</c:v>
                </c:pt>
                <c:pt idx="38">
                  <c:v>0.16</c:v>
                </c:pt>
                <c:pt idx="39">
                  <c:v>0.38</c:v>
                </c:pt>
                <c:pt idx="40">
                  <c:v>0.46</c:v>
                </c:pt>
                <c:pt idx="41">
                  <c:v>0.21</c:v>
                </c:pt>
                <c:pt idx="42">
                  <c:v>0.38</c:v>
                </c:pt>
                <c:pt idx="43">
                  <c:v>-0.02</c:v>
                </c:pt>
                <c:pt idx="44">
                  <c:v>0.44</c:v>
                </c:pt>
                <c:pt idx="45">
                  <c:v>0.56</c:v>
                </c:pt>
                <c:pt idx="46">
                  <c:v>0.39</c:v>
                </c:pt>
                <c:pt idx="47">
                  <c:v>0.52</c:v>
                </c:pt>
                <c:pt idx="48">
                  <c:v>0.16</c:v>
                </c:pt>
                <c:pt idx="49">
                  <c:v>1.31</c:v>
                </c:pt>
                <c:pt idx="50">
                  <c:v>0.56</c:v>
                </c:pt>
                <c:pt idx="51">
                  <c:v>0.43</c:v>
                </c:pt>
                <c:pt idx="52">
                  <c:v>0.26</c:v>
                </c:pt>
                <c:pt idx="53">
                  <c:v>0.24</c:v>
                </c:pt>
                <c:pt idx="54">
                  <c:v>0.26</c:v>
                </c:pt>
                <c:pt idx="55">
                  <c:v>-0.11</c:v>
                </c:pt>
                <c:pt idx="56">
                  <c:v>0.48</c:v>
                </c:pt>
                <c:pt idx="57">
                  <c:v>0.09</c:v>
                </c:pt>
                <c:pt idx="58">
                  <c:v>0.18</c:v>
                </c:pt>
                <c:pt idx="59">
                  <c:v>0.33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'02 Mensal'!G1</c:f>
              <c:strCache>
                <c:ptCount val="1"/>
                <c:pt idx="0">
                  <c:v>Selic Meta Fim do Mês (% a.a.)</c:v>
                </c:pt>
              </c:strCache>
            </c:strRef>
          </c:tx>
          <c:spPr>
            <a:solidFill xmlns:a="http://schemas.openxmlformats.org/drawingml/2006/main">
              <a:srgbClr val="D8A13A"/>
            </a:solidFill>
            <a:ln xmlns:a="http://schemas.openxmlformats.org/drawingml/2006/main" w="24120">
              <a:solidFill>
                <a:srgbClr val="D8A13A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'01 Dashboard'!$P$1:$P$60</c:f>
              <c:strCache>
                <c:ptCount val="60"/>
                <c:pt idx="0">
                  <c:v>Jan/21</c:v>
                </c:pt>
                <c:pt idx="1">
                  <c:v>Feb/21</c:v>
                </c:pt>
                <c:pt idx="2">
                  <c:v>Mar/21</c:v>
                </c:pt>
                <c:pt idx="3">
                  <c:v>Apr/21</c:v>
                </c:pt>
                <c:pt idx="4">
                  <c:v>May/21</c:v>
                </c:pt>
                <c:pt idx="5">
                  <c:v>Jun/21</c:v>
                </c:pt>
                <c:pt idx="6">
                  <c:v>Jul/21</c:v>
                </c:pt>
                <c:pt idx="7">
                  <c:v>Aug/21</c:v>
                </c:pt>
                <c:pt idx="8">
                  <c:v>Sep/21</c:v>
                </c:pt>
                <c:pt idx="9">
                  <c:v>Oct/21</c:v>
                </c:pt>
                <c:pt idx="10">
                  <c:v>Nov/21</c:v>
                </c:pt>
                <c:pt idx="11">
                  <c:v>Dec/21</c:v>
                </c:pt>
                <c:pt idx="12">
                  <c:v>Jan/22</c:v>
                </c:pt>
                <c:pt idx="13">
                  <c:v>Feb/22</c:v>
                </c:pt>
                <c:pt idx="14">
                  <c:v>Mar/22</c:v>
                </c:pt>
                <c:pt idx="15">
                  <c:v>Apr/22</c:v>
                </c:pt>
                <c:pt idx="16">
                  <c:v>May/22</c:v>
                </c:pt>
                <c:pt idx="17">
                  <c:v>Jun/22</c:v>
                </c:pt>
                <c:pt idx="18">
                  <c:v>Jul/22</c:v>
                </c:pt>
                <c:pt idx="19">
                  <c:v>Aug/22</c:v>
                </c:pt>
                <c:pt idx="20">
                  <c:v>Sep/22</c:v>
                </c:pt>
                <c:pt idx="21">
                  <c:v>Oct/22</c:v>
                </c:pt>
                <c:pt idx="22">
                  <c:v>Nov/22</c:v>
                </c:pt>
                <c:pt idx="23">
                  <c:v>Dec/22</c:v>
                </c:pt>
                <c:pt idx="24">
                  <c:v>Jan/23</c:v>
                </c:pt>
                <c:pt idx="25">
                  <c:v>Feb/23</c:v>
                </c:pt>
                <c:pt idx="26">
                  <c:v>Mar/23</c:v>
                </c:pt>
                <c:pt idx="27">
                  <c:v>Apr/23</c:v>
                </c:pt>
                <c:pt idx="28">
                  <c:v>May/23</c:v>
                </c:pt>
                <c:pt idx="29">
                  <c:v>Jun/23</c:v>
                </c:pt>
                <c:pt idx="30">
                  <c:v>Jul/23</c:v>
                </c:pt>
                <c:pt idx="31">
                  <c:v>Aug/23</c:v>
                </c:pt>
                <c:pt idx="32">
                  <c:v>Sep/23</c:v>
                </c:pt>
                <c:pt idx="33">
                  <c:v>Oct/23</c:v>
                </c:pt>
                <c:pt idx="34">
                  <c:v>Nov/23</c:v>
                </c:pt>
                <c:pt idx="35">
                  <c:v>Dec/23</c:v>
                </c:pt>
                <c:pt idx="36">
                  <c:v>Jan/24</c:v>
                </c:pt>
                <c:pt idx="37">
                  <c:v>Feb/24</c:v>
                </c:pt>
                <c:pt idx="38">
                  <c:v>Mar/24</c:v>
                </c:pt>
                <c:pt idx="39">
                  <c:v>Apr/24</c:v>
                </c:pt>
                <c:pt idx="40">
                  <c:v>May/24</c:v>
                </c:pt>
                <c:pt idx="41">
                  <c:v>Jun/24</c:v>
                </c:pt>
                <c:pt idx="42">
                  <c:v>Jul/24</c:v>
                </c:pt>
                <c:pt idx="43">
                  <c:v>Aug/24</c:v>
                </c:pt>
                <c:pt idx="44">
                  <c:v>Sep/24</c:v>
                </c:pt>
                <c:pt idx="45">
                  <c:v>Oct/24</c:v>
                </c:pt>
                <c:pt idx="46">
                  <c:v>Nov/24</c:v>
                </c:pt>
                <c:pt idx="47">
                  <c:v>Dec/24</c:v>
                </c:pt>
                <c:pt idx="48">
                  <c:v>Jan/25</c:v>
                </c:pt>
                <c:pt idx="49">
                  <c:v>Feb/25</c:v>
                </c:pt>
                <c:pt idx="50">
                  <c:v>Mar/25</c:v>
                </c:pt>
                <c:pt idx="51">
                  <c:v>Apr/25</c:v>
                </c:pt>
                <c:pt idx="52">
                  <c:v>May/25</c:v>
                </c:pt>
                <c:pt idx="53">
                  <c:v>Jun/25</c:v>
                </c:pt>
                <c:pt idx="54">
                  <c:v>Jul/25</c:v>
                </c:pt>
                <c:pt idx="55">
                  <c:v>Aug/25</c:v>
                </c:pt>
                <c:pt idx="56">
                  <c:v>Sep/25</c:v>
                </c:pt>
                <c:pt idx="57">
                  <c:v>Oct/25</c:v>
                </c:pt>
                <c:pt idx="58">
                  <c:v>Nov/25</c:v>
                </c:pt>
                <c:pt idx="59">
                  <c:v>Dec/25</c:v>
                </c:pt>
              </c:strCache>
            </c:strRef>
          </c:cat>
          <c:val>
            <c:numRef>
              <c:f>'02 Mensal'!$G$2:$G$61</c:f>
              <c:numCache>
                <c:formatCode>0.00;[RED]\-0.00;\–</c:formatCode>
                <c:ptCount val="60"/>
                <c:pt idx="0">
                  <c:v>2</c:v>
                </c:pt>
                <c:pt idx="1">
                  <c:v>2</c:v>
                </c:pt>
                <c:pt idx="2">
                  <c:v>2.75</c:v>
                </c:pt>
                <c:pt idx="3">
                  <c:v>2.75</c:v>
                </c:pt>
                <c:pt idx="4">
                  <c:v>3.5</c:v>
                </c:pt>
                <c:pt idx="5">
                  <c:v>4.25</c:v>
                </c:pt>
                <c:pt idx="6">
                  <c:v>4.25</c:v>
                </c:pt>
                <c:pt idx="7">
                  <c:v>5.25</c:v>
                </c:pt>
                <c:pt idx="8">
                  <c:v>6.25</c:v>
                </c:pt>
                <c:pt idx="9">
                  <c:v>7.75</c:v>
                </c:pt>
                <c:pt idx="10">
                  <c:v>7.75</c:v>
                </c:pt>
                <c:pt idx="11">
                  <c:v>9.25</c:v>
                </c:pt>
                <c:pt idx="12">
                  <c:v>9.25</c:v>
                </c:pt>
                <c:pt idx="13">
                  <c:v>10.75</c:v>
                </c:pt>
                <c:pt idx="14">
                  <c:v>11.75</c:v>
                </c:pt>
                <c:pt idx="15">
                  <c:v>11.75</c:v>
                </c:pt>
                <c:pt idx="16">
                  <c:v>12.75</c:v>
                </c:pt>
                <c:pt idx="17">
                  <c:v>13.25</c:v>
                </c:pt>
                <c:pt idx="18">
                  <c:v>13.25</c:v>
                </c:pt>
                <c:pt idx="19">
                  <c:v>13.75</c:v>
                </c:pt>
                <c:pt idx="20">
                  <c:v>13.75</c:v>
                </c:pt>
                <c:pt idx="21">
                  <c:v>13.75</c:v>
                </c:pt>
                <c:pt idx="22">
                  <c:v>13.75</c:v>
                </c:pt>
                <c:pt idx="23">
                  <c:v>13.75</c:v>
                </c:pt>
                <c:pt idx="24">
                  <c:v>13.75</c:v>
                </c:pt>
                <c:pt idx="25">
                  <c:v>13.75</c:v>
                </c:pt>
                <c:pt idx="26">
                  <c:v>13.75</c:v>
                </c:pt>
                <c:pt idx="27">
                  <c:v>13.75</c:v>
                </c:pt>
                <c:pt idx="28">
                  <c:v>13.75</c:v>
                </c:pt>
                <c:pt idx="29">
                  <c:v>13.75</c:v>
                </c:pt>
                <c:pt idx="30">
                  <c:v>13.75</c:v>
                </c:pt>
                <c:pt idx="31">
                  <c:v>13.25</c:v>
                </c:pt>
                <c:pt idx="32">
                  <c:v>12.75</c:v>
                </c:pt>
                <c:pt idx="33">
                  <c:v>12.75</c:v>
                </c:pt>
                <c:pt idx="34">
                  <c:v>12.25</c:v>
                </c:pt>
                <c:pt idx="35">
                  <c:v>11.75</c:v>
                </c:pt>
                <c:pt idx="36">
                  <c:v>11.75</c:v>
                </c:pt>
                <c:pt idx="37">
                  <c:v>11.25</c:v>
                </c:pt>
                <c:pt idx="38">
                  <c:v>10.75</c:v>
                </c:pt>
                <c:pt idx="39">
                  <c:v>10.75</c:v>
                </c:pt>
                <c:pt idx="40">
                  <c:v>10.5</c:v>
                </c:pt>
                <c:pt idx="41">
                  <c:v>10.5</c:v>
                </c:pt>
                <c:pt idx="42">
                  <c:v>10.5</c:v>
                </c:pt>
                <c:pt idx="43">
                  <c:v>10.5</c:v>
                </c:pt>
                <c:pt idx="44">
                  <c:v>10.75</c:v>
                </c:pt>
                <c:pt idx="45">
                  <c:v>10.75</c:v>
                </c:pt>
                <c:pt idx="46">
                  <c:v>11.25</c:v>
                </c:pt>
                <c:pt idx="47">
                  <c:v>12.25</c:v>
                </c:pt>
                <c:pt idx="48">
                  <c:v>13.25</c:v>
                </c:pt>
                <c:pt idx="49">
                  <c:v>13.25</c:v>
                </c:pt>
                <c:pt idx="50">
                  <c:v>14.25</c:v>
                </c:pt>
                <c:pt idx="51">
                  <c:v>14.25</c:v>
                </c:pt>
                <c:pt idx="52">
                  <c:v>14.75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</c:numCache>
            </c:numRef>
          </c:val>
          <c:smooth val="1"/>
        </c:ser>
        <c:axId val="6245004"/>
        <c:axId val="46541747"/>
      </c:lineChart>
      <c:catAx>
        <c:axId val="6245004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Mês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mmm-yy" sourceLinked="1"/>
        <c:majorTickMark val="none"/>
        <c:minorTickMark val="none"/>
        <c:tickLblPos val="nextTo"/>
        <c:tickLblSkip val="6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6541747"/>
        <c:crosses val="autoZero"/>
        <c:lblOffset val="100"/>
      </c:catAx>
      <c:valAx>
        <c:axId val="46541747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Percentual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0;[RED]\-0.00;\–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245004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Contexto trimestral: IPCA do trimestre e meta Selic média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'03 Trimestral'!I1</c:f>
              <c:strCache>
                <c:ptCount val="1"/>
                <c:pt idx="0">
                  <c:v>Selic Média Trimestre (%)</c:v>
                </c:pt>
              </c:strCache>
            </c:strRef>
          </c:tx>
          <c:spPr>
            <a:solidFill xmlns:a="http://schemas.openxmlformats.org/drawingml/2006/main">
              <a:srgbClr val="87A44B"/>
            </a:solidFill>
            <a:ln xmlns:a="http://schemas.openxmlformats.org/drawingml/2006/main" w="47520">
              <a:solidFill>
                <a:srgbClr val="87A44B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'03 Trimestral'!$A$2:$A$21</c:f>
              <c:strCache>
                <c:ptCount val="20"/>
                <c:pt idx="0">
                  <c:v>2021T1</c:v>
                </c:pt>
                <c:pt idx="1">
                  <c:v>2021T2</c:v>
                </c:pt>
                <c:pt idx="2">
                  <c:v>2021T3</c:v>
                </c:pt>
                <c:pt idx="3">
                  <c:v>2021T4</c:v>
                </c:pt>
                <c:pt idx="4">
                  <c:v>2022T1</c:v>
                </c:pt>
                <c:pt idx="5">
                  <c:v>2022T2</c:v>
                </c:pt>
                <c:pt idx="6">
                  <c:v>2022T3</c:v>
                </c:pt>
                <c:pt idx="7">
                  <c:v>2022T4</c:v>
                </c:pt>
                <c:pt idx="8">
                  <c:v>2023T1</c:v>
                </c:pt>
                <c:pt idx="9">
                  <c:v>2023T2</c:v>
                </c:pt>
                <c:pt idx="10">
                  <c:v>2023T3</c:v>
                </c:pt>
                <c:pt idx="11">
                  <c:v>2023T4</c:v>
                </c:pt>
                <c:pt idx="12">
                  <c:v>2024T1</c:v>
                </c:pt>
                <c:pt idx="13">
                  <c:v>2024T2</c:v>
                </c:pt>
                <c:pt idx="14">
                  <c:v>2024T3</c:v>
                </c:pt>
                <c:pt idx="15">
                  <c:v>2024T4</c:v>
                </c:pt>
                <c:pt idx="16">
                  <c:v>2025T1</c:v>
                </c:pt>
                <c:pt idx="17">
                  <c:v>2025T2</c:v>
                </c:pt>
                <c:pt idx="18">
                  <c:v>2025T3</c:v>
                </c:pt>
                <c:pt idx="19">
                  <c:v>2025T4</c:v>
                </c:pt>
              </c:strCache>
            </c:strRef>
          </c:cat>
          <c:val>
            <c:numRef>
              <c:f>'03 Trimestral'!$I$2:$I$21</c:f>
              <c:numCache>
                <c:formatCode>0.00;[RED]\-0.00;\–</c:formatCode>
                <c:ptCount val="20"/>
                <c:pt idx="0">
                  <c:v>2.11290322580645</c:v>
                </c:pt>
                <c:pt idx="1">
                  <c:v>3.32634408602151</c:v>
                </c:pt>
                <c:pt idx="2">
                  <c:v>4.96254480286738</c:v>
                </c:pt>
                <c:pt idx="3">
                  <c:v>7.68548387096774</c:v>
                </c:pt>
                <c:pt idx="4">
                  <c:v>10.3755760368664</c:v>
                </c:pt>
                <c:pt idx="5">
                  <c:v>12.4569892473118</c:v>
                </c:pt>
                <c:pt idx="6">
                  <c:v>13.5672043010753</c:v>
                </c:pt>
                <c:pt idx="7">
                  <c:v>13.75</c:v>
                </c:pt>
                <c:pt idx="8">
                  <c:v>13.75</c:v>
                </c:pt>
                <c:pt idx="9">
                  <c:v>13.75</c:v>
                </c:pt>
                <c:pt idx="10">
                  <c:v>13.3718637992832</c:v>
                </c:pt>
                <c:pt idx="11">
                  <c:v>12.3254480286738</c:v>
                </c:pt>
                <c:pt idx="12">
                  <c:v>11.3575268817204</c:v>
                </c:pt>
                <c:pt idx="13">
                  <c:v>10.6048387096774</c:v>
                </c:pt>
                <c:pt idx="14">
                  <c:v>10.5333333333333</c:v>
                </c:pt>
                <c:pt idx="15">
                  <c:v>11.2650537634409</c:v>
                </c:pt>
                <c:pt idx="16">
                  <c:v>13.0672043010753</c:v>
                </c:pt>
                <c:pt idx="17">
                  <c:v>14.5790322580645</c:v>
                </c:pt>
                <c:pt idx="18">
                  <c:v>15</c:v>
                </c:pt>
                <c:pt idx="19">
                  <c:v>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'03 Trimestral'!J1</c:f>
              <c:strCache>
                <c:ptCount val="1"/>
                <c:pt idx="0">
                  <c:v>IPCA trimestral composto (%)</c:v>
                </c:pt>
              </c:strCache>
            </c:strRef>
          </c:tx>
          <c:spPr>
            <a:solidFill xmlns:a="http://schemas.openxmlformats.org/drawingml/2006/main">
              <a:srgbClr val="B3C992"/>
            </a:solidFill>
            <a:ln xmlns:a="http://schemas.openxmlformats.org/drawingml/2006/main" w="47520">
              <a:solidFill>
                <a:srgbClr val="B3C992"/>
              </a:solidFill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1"/>
          </c:dLbls>
          <c:cat>
            <c:strRef>
              <c:f>'03 Trimestral'!$A$2:$A$21</c:f>
              <c:strCache>
                <c:ptCount val="20"/>
                <c:pt idx="0">
                  <c:v>2021T1</c:v>
                </c:pt>
                <c:pt idx="1">
                  <c:v>2021T2</c:v>
                </c:pt>
                <c:pt idx="2">
                  <c:v>2021T3</c:v>
                </c:pt>
                <c:pt idx="3">
                  <c:v>2021T4</c:v>
                </c:pt>
                <c:pt idx="4">
                  <c:v>2022T1</c:v>
                </c:pt>
                <c:pt idx="5">
                  <c:v>2022T2</c:v>
                </c:pt>
                <c:pt idx="6">
                  <c:v>2022T3</c:v>
                </c:pt>
                <c:pt idx="7">
                  <c:v>2022T4</c:v>
                </c:pt>
                <c:pt idx="8">
                  <c:v>2023T1</c:v>
                </c:pt>
                <c:pt idx="9">
                  <c:v>2023T2</c:v>
                </c:pt>
                <c:pt idx="10">
                  <c:v>2023T3</c:v>
                </c:pt>
                <c:pt idx="11">
                  <c:v>2023T4</c:v>
                </c:pt>
                <c:pt idx="12">
                  <c:v>2024T1</c:v>
                </c:pt>
                <c:pt idx="13">
                  <c:v>2024T2</c:v>
                </c:pt>
                <c:pt idx="14">
                  <c:v>2024T3</c:v>
                </c:pt>
                <c:pt idx="15">
                  <c:v>2024T4</c:v>
                </c:pt>
                <c:pt idx="16">
                  <c:v>2025T1</c:v>
                </c:pt>
                <c:pt idx="17">
                  <c:v>2025T2</c:v>
                </c:pt>
                <c:pt idx="18">
                  <c:v>2025T3</c:v>
                </c:pt>
                <c:pt idx="19">
                  <c:v>2025T4</c:v>
                </c:pt>
              </c:strCache>
            </c:strRef>
          </c:cat>
          <c:val>
            <c:numRef>
              <c:f>'03 Trimestral'!$J$2:$J$21</c:f>
              <c:numCache>
                <c:formatCode>0.00;[RED]\-0.00;\–</c:formatCode>
                <c:ptCount val="20"/>
                <c:pt idx="0">
                  <c:v>2.05249299499999</c:v>
                </c:pt>
                <c:pt idx="1">
                  <c:v>1.67862863690003</c:v>
                </c:pt>
                <c:pt idx="2">
                  <c:v>3.0196768832</c:v>
                </c:pt>
                <c:pt idx="3">
                  <c:v>2.95802168750001</c:v>
                </c:pt>
                <c:pt idx="4">
                  <c:v>3.2006523548</c:v>
                </c:pt>
                <c:pt idx="5">
                  <c:v>2.21526637939997</c:v>
                </c:pt>
                <c:pt idx="6">
                  <c:v>-1.3245430992</c:v>
                </c:pt>
                <c:pt idx="7">
                  <c:v>1.6286339978</c:v>
                </c:pt>
                <c:pt idx="8">
                  <c:v>2.09421060920001</c:v>
                </c:pt>
                <c:pt idx="9">
                  <c:v>0.760729877599986</c:v>
                </c:pt>
                <c:pt idx="10">
                  <c:v>0.61118671760001</c:v>
                </c:pt>
                <c:pt idx="11">
                  <c:v>1.08358776319999</c:v>
                </c:pt>
                <c:pt idx="12">
                  <c:v>1.41549157759999</c:v>
                </c:pt>
                <c:pt idx="13">
                  <c:v>1.05351567079999</c:v>
                </c:pt>
                <c:pt idx="14">
                  <c:v>0.80150766560001</c:v>
                </c:pt>
                <c:pt idx="15">
                  <c:v>1.47713535680001</c:v>
                </c:pt>
                <c:pt idx="16">
                  <c:v>2.04033973760003</c:v>
                </c:pt>
                <c:pt idx="17">
                  <c:v>0.932776683199976</c:v>
                </c:pt>
                <c:pt idx="18">
                  <c:v>0.630432627199995</c:v>
                </c:pt>
                <c:pt idx="19">
                  <c:v>0.601053534600005</c:v>
                </c:pt>
              </c:numCache>
            </c:numRef>
          </c:val>
          <c:smooth val="1"/>
        </c:ser>
        <c:axId val="70180997"/>
        <c:axId val="96037355"/>
      </c:lineChart>
      <c:catAx>
        <c:axId val="70180997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Trimestre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6037355"/>
        <c:crosses val="autoZero"/>
        <c:lblOffset val="100"/>
      </c:catAx>
      <c:valAx>
        <c:axId val="96037355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Percentual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0;[RED]\-0.00;\–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0180997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261720</xdr:colOff>
      <xdr:row>32</xdr:row>
      <xdr:rowOff>22320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05daa026be4ad2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261720</xdr:colOff>
      <xdr:row>32</xdr:row>
      <xdr:rowOff>22320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f45c9b0d4a414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08F3EB39-1A36-0041-A4F6-638424D4703F}"/>
  <xltc:person displayName="OpenAI" id="{B30DB06B-F36E-5292-92D1-89A27EC02D6F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b8a014275d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22dbca065cef47c4" /><Relationship Type="http://schemas.openxmlformats.org/officeDocument/2006/relationships/vmlDrawing" Target="/xl/drawings/vmldrawing.vml" Id="R54aa5326035e43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80c98fc016c4b7d" /><Relationship Type="http://schemas.openxmlformats.org/officeDocument/2006/relationships/vmlDrawing" Target="/xl/drawings/vmldrawing2.vml" Id="R3a723d72e6b140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api.bcb.gov.br/dados/serie/bcdata.sgs.433/dados?formato=json&amp;dataInicial=01/01/2021&amp;dataFinal=31/12/2025" TargetMode="External" Id="Rcb90b5b3fbed4e1d" /><Relationship Type="http://schemas.openxmlformats.org/officeDocument/2006/relationships/hyperlink" Target="https://api.bcb.gov.br/dados/serie/bcdata.sgs.13522/dados?formato=json&amp;dataInicial=01/01/2021&amp;dataFinal=31/12/2025" TargetMode="External" Id="R0d04f04c8489467e" /><Relationship Type="http://schemas.openxmlformats.org/officeDocument/2006/relationships/hyperlink" Target="https://api.bcb.gov.br/dados/serie/bcdata.sgs.432/dados?formato=json&amp;dataInicial=01/01/2021&amp;dataFinal=31/12/2025" TargetMode="External" Id="R050c941cde6f4c42" /><Relationship Type="http://schemas.openxmlformats.org/officeDocument/2006/relationships/hyperlink" Target="https://api.bcb.gov.br/dados/serie/bcdata.sgs.24364/dados?formato=json&amp;dataInicial=01/01/2021&amp;dataFinal=31/12/2025" TargetMode="External" Id="Rb4cbb9abac8e44b6" /><Relationship Type="http://schemas.openxmlformats.org/officeDocument/2006/relationships/hyperlink" Target="https://api.bcb.gov.br/dados/serie/bcdata.sgs.24363/dados?formato=json&amp;dataInicial=01/01/2021&amp;dataFinal=31/12/2025" TargetMode="External" Id="R6d644e53aab742f4" /><Relationship Type="http://schemas.openxmlformats.org/officeDocument/2006/relationships/hyperlink" Target="https://sidra.ibge.gov.br/tabela/4095" TargetMode="External" Id="R608d65e0a666404d" /></Relationships>
</file>

<file path=xl/worksheets/sheet1.xml><?xml version="1.0" encoding="utf-8"?>
<x:worksheet xmlns:x="http://schemas.openxmlformats.org/spreadsheetml/2006/main">
  <x:sheetPr>
    <x:tabColor rgb="FF168C8C"/>
  </x:sheetPr>
  <x:sheetViews>
    <x:sheetView showGridLines="0" workbookViewId="0">
      <x:pane ySplit="4" topLeftCell="A5" activePane="bottomLeft" state="frozen"/>
    </x:sheetView>
  </x:sheetViews>
  <x:sheetFormatPr baseColWidth="8" defaultColWidth="8.6796875" defaultRowHeight="15"/>
  <x:cols>
    <x:col min="1" max="14" width="13" style="42" customWidth="1"/>
    <x:col min="1" max="1" width="13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6" max="16" width="2" hidden="0" customWidth="1"/>
  </x:cols>
  <x:sheetData>
    <x:row r="1" s="43" customFormat="1" ht="36" customHeight="1">
      <x:c r="A1" s="144" t="inlineStr">
        <x:is>
          <x:t xml:space="preserve">RADAR MACROECONÔMICO</x:t>
        </x:is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P1" t="str">
        <x:v>Jan/21</x:v>
      </x:c>
    </x:row>
    <x:row r="2" s="43" customFormat="1" ht="15" customHeight="1">
      <x:c r="P2" t="str">
        <x:v>Feb/21</x:v>
      </x:c>
    </x:row>
    <x:row r="3" s="43" customFormat="1" ht="24" customHeight="1">
      <x:c r="A3" s="150" t="inlineStr">
        <x:is>
          <x:t xml:space="preserve">BRASIL &amp; GOIÁS  |  JANEIRO 2021 — DEZEMBRO 2025</x:t>
        </x:is>
      </x:c>
      <x:c r="B3" s="152"/>
      <x:c r="C3" s="152"/>
      <x:c r="D3" s="152"/>
      <x:c r="E3" s="152"/>
      <x:c r="F3" s="152"/>
      <x:c r="G3" s="152"/>
      <x:c r="H3" s="152"/>
      <x:c r="I3" s="152"/>
      <x:c r="J3" s="152"/>
      <x:c r="K3" s="152"/>
      <x:c r="L3" s="152"/>
      <x:c r="M3" s="152"/>
      <x:c r="N3" s="152"/>
      <x:c r="P3" t="str">
        <x:v>Mar/21</x:v>
      </x:c>
    </x:row>
    <x:row r="4">
      <x:c r="P4" t="str">
        <x:v>Apr/21</x:v>
      </x:c>
    </x:row>
    <x:row r="5" s="43" customFormat="1" ht="36" customHeight="1">
      <x:c r="A5" s="162" t="str">
        <x:v>STATUS: DASHBOARD PARCIAL — séries mensais nacionais e IBCR-GO preenchidas; IPCA Goiânia pendente de extração; desemprego trimestral ainda precisa ser reconciliado com uma extração única do SIDRA 6468.</x:v>
      </x:c>
      <x:c r="B5" s="165"/>
      <x:c r="C5" s="165"/>
      <x:c r="D5" s="165"/>
      <x:c r="E5" s="165"/>
      <x:c r="F5" s="165"/>
      <x:c r="G5" s="165"/>
      <x:c r="H5" s="165"/>
      <x:c r="I5" s="165"/>
      <x:c r="J5" s="165"/>
      <x:c r="K5" s="165"/>
      <x:c r="L5" s="165"/>
      <x:c r="M5" s="165"/>
      <x:c r="N5" s="165"/>
      <x:c r="P5" t="str">
        <x:v>May/21</x:v>
      </x:c>
    </x:row>
    <x:row r="6" s="43" customFormat="1" ht="19.5" customHeight="1">
      <x:c r="P6" t="str">
        <x:v>Jun/21</x:v>
      </x:c>
    </x:row>
    <x:row r="7">
      <x:c r="P7" t="str">
        <x:v>Jul/21</x:v>
      </x:c>
    </x:row>
    <x:row r="8" s="43" customFormat="1" ht="24" customHeight="1">
      <x:c r="A8" s="175" t="inlineStr">
        <x:is>
          <x:t xml:space="preserve">IPCA BRASIL • DEZ/2025</x:t>
        </x:is>
      </x:c>
      <x:c r="B8" s="178"/>
      <x:c r="C8" s="178"/>
      <x:c r="D8" s="175" t="inlineStr">
        <x:is>
          <x:t xml:space="preserve">IPCA 12M • DEZ/2025</x:t>
        </x:is>
      </x:c>
      <x:c r="E8" s="178"/>
      <x:c r="F8" s="178"/>
      <x:c r="G8" s="175" t="inlineStr">
        <x:is>
          <x:t xml:space="preserve">META SELIC • DEZ/2025</x:t>
        </x:is>
      </x:c>
      <x:c r="H8" s="178"/>
      <x:c r="I8" s="178"/>
      <x:c r="J8" s="175" t="str">
        <x:v>STATUS DAS SÉRIES</x:v>
      </x:c>
      <x:c r="K8" s="178"/>
      <x:c r="L8" s="178"/>
      <x:c r="M8" s="178"/>
      <x:c r="N8" s="178"/>
      <x:c r="P8" t="str">
        <x:v>Aug/21</x:v>
      </x:c>
    </x:row>
    <x:row r="9" s="43" customFormat="1" ht="30" customHeight="1">
      <x:c r="A9" s="190" t="n">
        <x:f>'02 Mensal'!B61</x:f>
        <x:v>0.33</x:v>
      </x:c>
      <x:c r="B9" s="193"/>
      <x:c r="C9" s="193"/>
      <x:c r="D9" s="190" t="n">
        <x:f>'02 Mensal'!C61</x:f>
        <x:v>4.26</x:v>
      </x:c>
      <x:c r="E9" s="193"/>
      <x:c r="F9" s="193"/>
      <x:c r="G9" s="190" t="n">
        <x:f>'02 Mensal'!G61</x:f>
        <x:v>15</x:v>
      </x:c>
      <x:c r="H9" s="193"/>
      <x:c r="I9" s="193"/>
      <x:c r="J9" s="272" t="str">
        <x:v>IPCA Goiânia pendente; validar SIDRA</x:v>
      </x:c>
      <x:c r="K9" s="193"/>
      <x:c r="L9" s="193"/>
      <x:c r="M9" s="193"/>
      <x:c r="N9" s="193"/>
      <x:c r="P9" t="str">
        <x:v>Sep/21</x:v>
      </x:c>
    </x:row>
    <x:row r="10">
      <x:c r="P10" t="str">
        <x:v>Oct/21</x:v>
      </x:c>
    </x:row>
    <x:row r="11" s="43" customFormat="1" ht="24" customHeight="1">
      <x:c r="A11" s="212" t="inlineStr">
        <x:is>
          <x:t xml:space="preserve">LEITURA EXECUTIVA</x:t>
        </x:is>
      </x:c>
      <x:c r="B11" s="213"/>
      <x:c r="C11" s="213"/>
      <x:c r="D11" s="213"/>
      <x:c r="E11" s="213"/>
      <x:c r="F11" s="213"/>
      <x:c r="G11" s="213"/>
      <x:c r="H11" s="213"/>
      <x:c r="I11" s="213"/>
      <x:c r="J11" s="213"/>
      <x:c r="K11" s="213"/>
      <x:c r="L11" s="213"/>
      <x:c r="M11" s="213"/>
      <x:c r="N11" s="213"/>
      <x:c r="P11" t="str">
        <x:v>Nov/21</x:v>
      </x:c>
    </x:row>
    <x:row r="12" s="43" customFormat="1" ht="42" customHeight="1">
      <x:c r="A12" s="225" t="inlineStr">
        <x:is>
          <x:t xml:space="preserve">01 | Inflação</x:t>
        </x:is>
      </x:c>
      <x:c r="B12" s="226"/>
      <x:c r="C12" s="226"/>
      <x:c r="D12" s="236" t="str">
        <x:v>IPCA Brasil: 0,33% em dez/2025; acumulado em 12 meses: 4,26%. O IPCA mensal de Goiânia (SGS 13255) permanece pendente e não deve ser apresentado como inflação de todo o estado.</x:v>
      </x:c>
      <x:c r="E12" s="236"/>
      <x:c r="F12" s="236"/>
      <x:c r="G12" s="236"/>
      <x:c r="H12" s="236"/>
      <x:c r="I12" s="236"/>
      <x:c r="J12" s="236"/>
      <x:c r="K12" s="236"/>
      <x:c r="L12" s="236"/>
      <x:c r="M12" s="236"/>
      <x:c r="N12" s="236"/>
      <x:c r="P12" t="str">
        <x:v>Dec/21</x:v>
      </x:c>
    </x:row>
    <x:row r="13" s="43" customFormat="1" ht="42" customHeight="1">
      <x:c r="A13" s="225" t="inlineStr">
        <x:is>
          <x:t xml:space="preserve">02 | Política monetária</x:t>
        </x:is>
      </x:c>
      <x:c r="B13" s="226"/>
      <x:c r="C13" s="226"/>
      <x:c r="D13" s="236" t="str">
        <x:v>A meta Selic terminou 2025 em 15,00% a.a. A meta definida pelo Copom não é a mesma coisa que a taxa efetiva praticada nas operações interfinanceiras.</x:v>
      </x:c>
      <x:c r="E13" s="236"/>
      <x:c r="F13" s="236"/>
      <x:c r="G13" s="236"/>
      <x:c r="H13" s="236"/>
      <x:c r="I13" s="236"/>
      <x:c r="J13" s="236"/>
      <x:c r="K13" s="236"/>
      <x:c r="L13" s="236"/>
      <x:c r="M13" s="236"/>
      <x:c r="N13" s="236"/>
      <x:c r="P13" t="str">
        <x:v>Jan/22</x:v>
      </x:c>
    </x:row>
    <x:row r="14" s="43" customFormat="1" ht="42" customHeight="1">
      <x:c r="A14" s="225" t="inlineStr">
        <x:is>
          <x:t xml:space="preserve">03 | Atividade econômica</x:t>
        </x:is>
      </x:c>
      <x:c r="B14" s="226"/>
      <x:c r="C14" s="226"/>
      <x:c r="D14" s="236" t="str">
        <x:v>IBC-Br nacional preenchido com e sem ajuste sazonal. IBCR-GO regional preenchido via SGS 25384 (ajustado) e 25383 (sem ajuste); para variações mensais, utilizar a série dessazonalizada.</x:v>
      </x:c>
      <x:c r="E14" s="236"/>
      <x:c r="F14" s="236"/>
      <x:c r="G14" s="236"/>
      <x:c r="H14" s="236"/>
      <x:c r="I14" s="236"/>
      <x:c r="J14" s="236"/>
      <x:c r="K14" s="236"/>
      <x:c r="L14" s="236"/>
      <x:c r="M14" s="236"/>
      <x:c r="N14" s="236"/>
      <x:c r="P14" t="str">
        <x:v>Feb/22</x:v>
      </x:c>
    </x:row>
    <x:row r="15" s="43" customFormat="1" ht="42" customHeight="1">
      <x:c r="A15" s="225" t="inlineStr">
        <x:is>
          <x:t xml:space="preserve">04 | Mercado de trabalho</x:t>
        </x:is>
      </x:c>
      <x:c r="B15" s="226"/>
      <x:c r="C15" s="226"/>
      <x:c r="D15" s="236" t="str">
        <x:v>No 4º trimestre de 2025, a taxa de desocupação divulgada foi de 5,1% no Brasil e 3,9% em Goiás. A série histórica foi compilada de releases oficiais e precisa ser reconciliada em uma única extração SIDRA 6468 antes de publicação.</x:v>
      </x:c>
      <x:c r="E15" s="236"/>
      <x:c r="F15" s="236"/>
      <x:c r="G15" s="236"/>
      <x:c r="H15" s="236"/>
      <x:c r="I15" s="236"/>
      <x:c r="J15" s="236"/>
      <x:c r="K15" s="236"/>
      <x:c r="L15" s="236"/>
      <x:c r="M15" s="236"/>
      <x:c r="N15" s="236"/>
      <x:c r="P15" t="str">
        <x:v>Mar/22</x:v>
      </x:c>
    </x:row>
    <x:row r="16">
      <x:c r="P16" t="str">
        <x:v>Apr/22</x:v>
      </x:c>
    </x:row>
    <x:row r="17">
      <x:c r="P17" t="str">
        <x:v>May/22</x:v>
      </x:c>
    </x:row>
    <x:row r="18">
      <x:c r="P18" t="str">
        <x:v>Jun/22</x:v>
      </x:c>
    </x:row>
    <x:row r="19">
      <x:c r="P19" t="str">
        <x:v>Jul/22</x:v>
      </x:c>
    </x:row>
    <x:row r="20">
      <x:c r="P20" t="str">
        <x:v>Aug/22</x:v>
      </x:c>
    </x:row>
    <x:row r="21">
      <x:c r="P21" t="str">
        <x:v>Sep/22</x:v>
      </x:c>
    </x:row>
    <x:row r="22">
      <x:c r="P22" t="str">
        <x:v>Oct/22</x:v>
      </x:c>
    </x:row>
    <x:row r="23">
      <x:c r="P23" t="str">
        <x:v>Nov/22</x:v>
      </x:c>
    </x:row>
    <x:row r="24">
      <x:c r="P24" t="str">
        <x:v>Dec/22</x:v>
      </x:c>
    </x:row>
    <x:row r="25">
      <x:c r="P25" t="str">
        <x:v>Jan/23</x:v>
      </x:c>
    </x:row>
    <x:row r="26">
      <x:c r="P26" t="str">
        <x:v>Feb/23</x:v>
      </x:c>
    </x:row>
    <x:row r="27">
      <x:c r="P27" t="str">
        <x:v>Mar/23</x:v>
      </x:c>
    </x:row>
    <x:row r="28">
      <x:c r="P28" t="str">
        <x:v>Apr/23</x:v>
      </x:c>
    </x:row>
    <x:row r="29">
      <x:c r="P29" t="str">
        <x:v>May/23</x:v>
      </x:c>
    </x:row>
    <x:row r="30">
      <x:c r="P30" t="str">
        <x:v>Jun/23</x:v>
      </x:c>
    </x:row>
    <x:row r="31">
      <x:c r="P31" t="str">
        <x:v>Jul/23</x:v>
      </x:c>
    </x:row>
    <x:row r="32">
      <x:c r="P32" t="str">
        <x:v>Aug/23</x:v>
      </x:c>
    </x:row>
    <x:row r="33">
      <x:c r="P33" t="str">
        <x:v>Sep/23</x:v>
      </x:c>
    </x:row>
    <x:row r="34" s="43" customFormat="1" ht="32" customHeight="1">
      <x:c r="A34" s="245" t="str">
        <x:v>Nota metodológica: IPCA de Goiânia representa a área de coleta do município, não todo o estado. IBC-Br é nacional; IBCR-GO é regional. Desemprego é trimestral; correlação não comprova causalidade.</x:v>
      </x:c>
      <x:c r="B34" s="248"/>
      <x:c r="C34" s="248"/>
      <x:c r="D34" s="248"/>
      <x:c r="E34" s="248"/>
      <x:c r="F34" s="248"/>
      <x:c r="G34" s="248"/>
      <x:c r="H34" s="248"/>
      <x:c r="I34" s="248"/>
      <x:c r="J34" s="248"/>
      <x:c r="K34" s="248"/>
      <x:c r="L34" s="248"/>
      <x:c r="M34" s="248"/>
      <x:c r="N34" s="248"/>
      <x:c r="P34" t="str">
        <x:v>Oct/23</x:v>
      </x:c>
    </x:row>
    <x:row r="35" s="43" customFormat="1" ht="15" customHeight="1">
      <x:c r="P35" t="str">
        <x:v>Nov/23</x:v>
      </x:c>
    </x:row>
    <x:row r="36">
      <x:c r="P36" t="str">
        <x:v>Dec/23</x:v>
      </x:c>
    </x:row>
    <x:row r="37" s="43" customFormat="1" ht="24" customHeight="1">
      <x:c r="A37" s="259" t="inlineStr">
        <x:is>
          <x:t xml:space="preserve">NAVEGAÇÃO: 00 Leia-me  •  02 Mensal  •  03 Trimestral  •  04 Selic Diária  •  05 Fontes  •  06 Controle de Qualidade</x:t>
        </x:is>
      </x:c>
      <x:c r="B37" s="260"/>
      <x:c r="C37" s="260"/>
      <x:c r="D37" s="260"/>
      <x:c r="E37" s="260"/>
      <x:c r="F37" s="260"/>
      <x:c r="G37" s="260"/>
      <x:c r="H37" s="260"/>
      <x:c r="I37" s="260"/>
      <x:c r="J37" s="260"/>
      <x:c r="K37" s="260"/>
      <x:c r="L37" s="260"/>
      <x:c r="M37" s="260"/>
      <x:c r="N37" s="260"/>
      <x:c r="P37" t="str">
        <x:v>Jan/24</x:v>
      </x:c>
    </x:row>
    <x:row r="38">
      <x:c r="P38" t="str">
        <x:v>Feb/24</x:v>
      </x:c>
    </x:row>
    <x:row r="39">
      <x:c r="P39" t="str">
        <x:v>Mar/24</x:v>
      </x:c>
    </x:row>
    <x:row r="40">
      <x:c r="P40" t="str">
        <x:v>Apr/24</x:v>
      </x:c>
    </x:row>
    <x:row r="41">
      <x:c r="P41" t="str">
        <x:v>May/24</x:v>
      </x:c>
    </x:row>
    <x:row r="42">
      <x:c r="P42" t="str">
        <x:v>Jun/24</x:v>
      </x:c>
    </x:row>
    <x:row r="43">
      <x:c r="P43" t="str">
        <x:v>Jul/24</x:v>
      </x:c>
    </x:row>
    <x:row r="44">
      <x:c r="P44" t="str">
        <x:v>Aug/24</x:v>
      </x:c>
    </x:row>
    <x:row r="45">
      <x:c r="P45" t="str">
        <x:v>Sep/24</x:v>
      </x:c>
    </x:row>
    <x:row r="46">
      <x:c r="P46" t="str">
        <x:v>Oct/24</x:v>
      </x:c>
    </x:row>
    <x:row r="47">
      <x:c r="P47" t="str">
        <x:v>Nov/24</x:v>
      </x:c>
    </x:row>
    <x:row r="48">
      <x:c r="P48" t="str">
        <x:v>Dec/24</x:v>
      </x:c>
    </x:row>
    <x:row r="49">
      <x:c r="P49" t="str">
        <x:v>Jan/25</x:v>
      </x:c>
    </x:row>
    <x:row r="50">
      <x:c r="P50" t="str">
        <x:v>Feb/25</x:v>
      </x:c>
    </x:row>
    <x:row r="51">
      <x:c r="P51" t="str">
        <x:v>Mar/25</x:v>
      </x:c>
    </x:row>
    <x:row r="52">
      <x:c r="P52" t="str">
        <x:v>Apr/25</x:v>
      </x:c>
    </x:row>
    <x:row r="53">
      <x:c r="P53" t="str">
        <x:v>May/25</x:v>
      </x:c>
    </x:row>
    <x:row r="54">
      <x:c r="P54" t="str">
        <x:v>Jun/25</x:v>
      </x:c>
    </x:row>
    <x:row r="55">
      <x:c r="P55" t="str">
        <x:v>Jul/25</x:v>
      </x:c>
    </x:row>
    <x:row r="56">
      <x:c r="P56" t="str">
        <x:v>Aug/25</x:v>
      </x:c>
    </x:row>
    <x:row r="57">
      <x:c r="P57" t="str">
        <x:v>Sep/25</x:v>
      </x:c>
    </x:row>
    <x:row r="58">
      <x:c r="P58" t="str">
        <x:v>Oct/25</x:v>
      </x:c>
    </x:row>
    <x:row r="59">
      <x:c r="P59" t="str">
        <x:v>Nov/25</x:v>
      </x:c>
    </x:row>
    <x:row r="60">
      <x:c r="P60" t="str">
        <x:v>Dec/25</x:v>
      </x:c>
    </x:row>
  </x:sheetData>
  <x:mergeCells>
    <x:mergeCell ref="A11:N11"/>
    <x:mergeCell ref="A12:C12"/>
    <x:mergeCell ref="A5:N6"/>
    <x:mergeCell ref="A14:C14"/>
    <x:mergeCell ref="A8:C8"/>
    <x:mergeCell ref="D9:F9"/>
    <x:mergeCell ref="D13:N13"/>
    <x:mergeCell ref="D8:F8"/>
    <x:mergeCell ref="A37:N37"/>
    <x:mergeCell ref="A3:N3"/>
    <x:mergeCell ref="A13:C13"/>
    <x:mergeCell ref="A34:N35"/>
    <x:mergeCell ref="A9:C9"/>
    <x:mergeCell ref="G9:I9"/>
    <x:mergeCell ref="J8:L8"/>
    <x:mergeCell ref="A15:C15"/>
    <x:mergeCell ref="A1:N2"/>
    <x:mergeCell ref="D12:N12"/>
    <x:mergeCell ref="D15:N15"/>
    <x:mergeCell ref="G8:I8"/>
    <x:mergeCell ref="D14:N14"/>
    <x:mergeCell ref="J9:L9"/>
    <x:mergeCell ref="A1:N1"/>
    <x:mergeCell ref="A5:N5"/>
    <x:mergeCell ref="J8:N8"/>
    <x:mergeCell ref="J9:N9"/>
    <x:mergeCell ref="A34:N34"/>
  </x:mergeCells>
  <x:pageMargins left="0.7" right="0.7" top="0.75" bottom="0.75" header="0.3" footer="0.3"/>
  <x:drawing xmlns:r="http://schemas.openxmlformats.org/officeDocument/2006/relationships" r:id="R90b8a014275d439c"/>
</x:worksheet>
</file>

<file path=xl/worksheets/sheet2.xml><?xml version="1.0" encoding="utf-8"?>
<x:worksheet xmlns:x="http://schemas.openxmlformats.org/spreadsheetml/2006/main">
  <x:sheetPr>
    <x:tabColor rgb="FF1F5A94"/>
  </x:sheetPr>
  <x:sheetViews>
    <x:sheetView showGridLines="0" workbookViewId="0"/>
  </x:sheetViews>
  <x:sheetFormatPr baseColWidth="8" defaultColWidth="8.6796875" defaultRowHeight="15"/>
  <x:cols>
    <x:col min="1" max="1" width="25" style="42" customWidth="1"/>
    <x:col min="2" max="6" width="19" style="42" customWidth="1"/>
  </x:cols>
  <x:sheetData>
    <x:row r="1" s="43" customFormat="1" ht="37.5" customHeight="1">
      <x:c r="A1" s="56" t="inlineStr">
        <x:is>
          <x:t xml:space="preserve">RADAR MACROECONÔMICO | BRASIL E GOIÁS</x:t>
        </x:is>
      </x:c>
    </x:row>
    <x:row r="2" s="43" customFormat="1" ht="15" customHeight="1">
      <x:c r="A2" s="57" t="inlineStr">
        <x:is>
          <x:t xml:space="preserve">Base de trabalho para análise econômica aplicada • Jan/2021–Dez/2025</x:t>
        </x:is>
      </x:c>
    </x:row>
    <x:row r="4" s="43" customFormat="1" ht="31.5" customHeight="1">
      <x:c r="A4" s="52" t="inlineStr">
        <x:is>
          <x:t xml:space="preserve">PROPÓSITO</x:t>
        </x:is>
      </x:c>
      <x:c r="B4" s="58" t="inlineStr">
        <x:is>
          <x:t xml:space="preserve">Organizar indicadores macroeconômicos nacionais e regionais para descrever a evolução da inflação, juros, atividade e mercado de trabalho.</x:t>
        </x:is>
      </x:c>
    </x:row>
    <x:row r="5" s="43" customFormat="1" ht="42" customHeight="1">
      <x:c r="A5" s="52" t="inlineStr">
        <x:is>
          <x:t xml:space="preserve">COMO USAR</x:t>
        </x:is>
      </x:c>
      <x:c r="B5" s="58" t="inlineStr">
        <x:is>
          <x:t xml:space="preserve">Comece pelo Dashboard. Consulte as abas Mensal e Trimestral para os dados tratados e Selic Diária para a série diária da meta Selic. A aba Fontes registra códigos, links e limitações.</x:t>
        </x:is>
      </x:c>
    </x:row>
    <x:row r="6" s="43" customFormat="1" ht="42" customHeight="1">
      <x:c r="A6" s="52" t="inlineStr">
        <x:is>
          <x:t xml:space="preserve">LEITURA METODOLÓGICA</x:t>
        </x:is>
      </x:c>
      <x:c r="B6" s="58" t="inlineStr">
        <x:is>
          <x:t xml:space="preserve">IPCA Goiânia é uma referência regional e não representa todo o estado de Goiás. IBC-Br é um indicador nacional; IBCR-GO é uma série regional distinta e precisa ter código/metodologia confirmados. A desocupação permanece trimestral.</x:t>
        </x:is>
      </x:c>
    </x:row>
    <x:row r="7" s="43" customFormat="1" ht="42" customHeight="1">
      <x:c r="A7" s="52" t="inlineStr">
        <x:is>
          <x:t xml:space="preserve">INTEGRIDADE DOS DADOS</x:t>
        </x:is>
      </x:c>
      <x:c r="B7" s="58" t="inlineStr">
        <x:is>
          <x:t xml:space="preserve">Campos ausentes foram mantidos em branco; não foram preenchidos por estimativa. Algumas fórmulas derivadas foram adicionadas somente quando existiam observações mensais suficientes. Confira os status na aba Controle de Qualidade.</x:t>
        </x:is>
      </x:c>
    </x:row>
    <x:row r="8" s="43" customFormat="1" ht="42" customHeight="1">
      <x:c r="A8" s="52" t="inlineStr">
        <x:is>
          <x:t xml:space="preserve">LIMITAÇÃO DE PUBLICAÇÃO</x:t>
        </x:is>
      </x:c>
      <x:c r="B8" s="58" t="inlineStr">
        <x:is>
          <x:t xml:space="preserve">Este arquivo está organizado e estilizado, mas ainda NÃO deve ser apresentado como base completa: faltam séries oficiais de IPCA Goiânia, IBC-Br/IBCR-GO e desocupação. O dashboard sinaliza essas pendências.</x:t>
        </x:is>
      </x:c>
    </x:row>
    <x:row r="9" s="43" customFormat="1" ht="31.5" customHeight="1">
      <x:c r="A9" s="52" t="inlineStr">
        <x:is>
          <x:t xml:space="preserve">VERSÃO</x:t>
        </x:is>
      </x:c>
      <x:c r="B9" s="58" t="inlineStr">
        <x:is>
          <x:t xml:space="preserve">Revisão estrutural e visual: 27/10/2026. Valores originais preservados; cálculos novos e pendências documentados.</x:t>
        </x:is>
      </x:c>
    </x:row>
  </x:sheetData>
  <x:mergeCells>
    <x:mergeCell ref="B4:F4"/>
    <x:mergeCell ref="A2:F2"/>
    <x:mergeCell ref="B7:F7"/>
    <x:mergeCell ref="B6:F6"/>
    <x:mergeCell ref="A1:F1"/>
    <x:mergeCell ref="B5:F5"/>
    <x:mergeCell ref="B8:F8"/>
    <x:mergeCell ref="B9:F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5A94"/>
  </x:sheetPr>
  <x:sheetViews>
    <x:sheetView showGridLines="0" workbookViewId="0">
      <x:pane xSplit="1" ySplit="1" topLeftCell="B2" activePane="bottomRight" state="frozen"/>
    </x:sheetView>
  </x:sheetViews>
  <x:sheetFormatPr baseColWidth="8" defaultColWidth="8.6796875" defaultRowHeight="15"/>
  <x:cols>
    <x:col min="1" max="1" width="13" style="42" customWidth="1"/>
    <x:col min="2" max="6" width="18" style="42" customWidth="1"/>
    <x:col min="7" max="7" width="21" style="42" customWidth="1"/>
    <x:col min="8" max="10" width="18" style="42" customWidth="1"/>
    <x:col min="11" max="11" width="20" style="42" customWidth="1"/>
    <x:col min="12" max="13" width="18" style="42" customWidth="1"/>
    <x:col min="14" max="14" width="20" style="42" customWidth="1"/>
  </x:cols>
  <x:sheetData>
    <x:row r="1" s="43" customFormat="1" ht="42" customHeight="1">
      <x:c r="A1" s="59" t="inlineStr">
        <x:is>
          <x:t xml:space="preserve">Data</x:t>
        </x:is>
      </x:c>
      <x:c r="B1" s="59" t="inlineStr">
        <x:is>
          <x:t xml:space="preserve">IPCA Brasil (m/m %)</x:t>
        </x:is>
      </x:c>
      <x:c r="C1" s="59" t="inlineStr">
        <x:is>
          <x:t xml:space="preserve">IPCA Brasil (12m %)</x:t>
        </x:is>
      </x:c>
      <x:c r="D1" s="59" t="inlineStr">
        <x:is>
          <x:t xml:space="preserve">IPCA Goiânia (m/m %)</x:t>
        </x:is>
      </x:c>
      <x:c r="E1" s="59" t="inlineStr">
        <x:is>
          <x:t xml:space="preserve">IPCA Goiânia (12m %)</x:t>
        </x:is>
      </x:c>
      <x:c r="F1" s="59" t="inlineStr">
        <x:is>
          <x:t xml:space="preserve">Meta de Inflação (% a.a.)</x:t>
        </x:is>
      </x:c>
      <x:c r="G1" s="59" t="inlineStr">
        <x:is>
          <x:t xml:space="preserve">Selic Meta Fim do Mês (% a.a.)</x:t>
        </x:is>
      </x:c>
      <x:c r="H1" s="59" t="str">
        <x:v>Meta Selic média do mês (% a.a.)</x:v>
      </x:c>
      <x:c r="I1" s="59" t="inlineStr">
        <x:is>
          <x:t xml:space="preserve">IBC-Br (com ajuste)</x:t>
        </x:is>
      </x:c>
      <x:c r="J1" s="59" t="inlineStr">
        <x:is>
          <x:t xml:space="preserve">IBC-Br (sem ajuste)</x:t>
        </x:is>
      </x:c>
      <x:c r="K1" s="59" t="inlineStr">
        <x:is>
          <x:t xml:space="preserve">IBC-Br Variação (m/m %)</x:t>
        </x:is>
      </x:c>
      <x:c r="L1" s="59" t="inlineStr">
        <x:is>
          <x:t xml:space="preserve">IBCR-GO (com ajuste)</x:t>
        </x:is>
      </x:c>
      <x:c r="M1" s="59" t="inlineStr">
        <x:is>
          <x:t xml:space="preserve">IBCR-GO (sem ajuste)</x:t>
        </x:is>
      </x:c>
      <x:c r="N1" s="59" t="inlineStr">
        <x:is>
          <x:t xml:space="preserve">IBCR-GO Variação (m/m %)</x:t>
        </x:is>
      </x:c>
    </x:row>
    <x:row r="2" s="43" customFormat="1" ht="15" customHeight="1">
      <x:c r="A2" s="60" t="n">
        <x:v>44197</x:v>
      </x:c>
      <x:c r="B2" s="61" t="n">
        <x:v>0.25</x:v>
      </x:c>
      <x:c r="C2" s="61" t="n">
        <x:v>4.56</x:v>
      </x:c>
      <x:c r="D2" s="61" t="n"/>
      <x:c r="E2" s="268" t="str">
        <x:f>""</x:f>
      </x:c>
      <x:c r="F2" s="61" t="n">
        <x:v>3.75</x:v>
      </x:c>
      <x:c r="G2" s="61" t="n">
        <x:v>2</x:v>
      </x:c>
      <x:c r="H2" s="61" t="n">
        <x:v>2</x:v>
      </x:c>
      <x:c r="I2" s="61" t="n">
        <x:v>97.80214</x:v>
      </x:c>
      <x:c r="J2" s="61" t="n">
        <x:v>91.88341</x:v>
      </x:c>
      <x:c r="K2" s="61"/>
      <x:c r="L2" s="268" t="n">
        <x:v>92.46</x:v>
      </x:c>
      <x:c r="M2" s="268" t="n">
        <x:v>81.39</x:v>
      </x:c>
      <x:c r="N2" s="268"/>
    </x:row>
    <x:row r="3" s="43" customFormat="1" ht="15" customHeight="1">
      <x:c r="A3" s="62" t="n">
        <x:v>44228</x:v>
      </x:c>
      <x:c r="B3" s="63" t="n">
        <x:v>0.86</x:v>
      </x:c>
      <x:c r="C3" s="63" t="n">
        <x:v>5.2</x:v>
      </x:c>
      <x:c r="D3" s="63" t="n"/>
      <x:c r="E3" s="269" t="str">
        <x:f>""</x:f>
      </x:c>
      <x:c r="F3" s="63" t="n">
        <x:v>3.75</x:v>
      </x:c>
      <x:c r="G3" s="63" t="n">
        <x:v>2</x:v>
      </x:c>
      <x:c r="H3" s="63" t="n">
        <x:v>2</x:v>
      </x:c>
      <x:c r="I3" s="63" t="n">
        <x:v>98.71707</x:v>
      </x:c>
      <x:c r="J3" s="63" t="n">
        <x:v>94.06464</x:v>
      </x:c>
      <x:c r="K3" s="63" t="n">
        <x:f>(I3/I2-1)*100</x:f>
        <x:v>0.9354907776046639</x:v>
      </x:c>
      <x:c r="L3" s="269" t="n">
        <x:v>93.58</x:v>
      </x:c>
      <x:c r="M3" s="269" t="n">
        <x:v>94.22</x:v>
      </x:c>
      <x:c r="N3" s="269" t="n">
        <x:f>(L3/L2-1)*100</x:f>
        <x:v>1.2113346311918738</x:v>
      </x:c>
    </x:row>
    <x:row r="4" s="43" customFormat="1" ht="15" customHeight="1">
      <x:c r="A4" s="60" t="n">
        <x:v>44256</x:v>
      </x:c>
      <x:c r="B4" s="61" t="n">
        <x:v>0.93</x:v>
      </x:c>
      <x:c r="C4" s="61" t="n">
        <x:v>6.1</x:v>
      </x:c>
      <x:c r="D4" s="61" t="n"/>
      <x:c r="E4" s="268" t="str">
        <x:f>""</x:f>
      </x:c>
      <x:c r="F4" s="61" t="n">
        <x:v>3.75</x:v>
      </x:c>
      <x:c r="G4" s="61" t="n">
        <x:v>2.75</x:v>
      </x:c>
      <x:c r="H4" s="61" t="n">
        <x:v>2.33870967741936</x:v>
      </x:c>
      <x:c r="I4" s="61" t="n">
        <x:v>95.30718</x:v>
      </x:c>
      <x:c r="J4" s="61" t="n">
        <x:v>101.09039</x:v>
      </x:c>
      <x:c r="K4" s="61" t="n">
        <x:f>(I4/I3-1)*100</x:f>
        <x:v>-3.4542050326250573</x:v>
      </x:c>
      <x:c r="L4" s="268" t="n">
        <x:v>93.23</x:v>
      </x:c>
      <x:c r="M4" s="268" t="n">
        <x:v>104.95</x:v>
      </x:c>
      <x:c r="N4" s="268" t="n">
        <x:f>(L4/L3-1)*100</x:f>
        <x:v>-0.3740115409275435</x:v>
      </x:c>
    </x:row>
    <x:row r="5" s="43" customFormat="1" ht="15" customHeight="1">
      <x:c r="A5" s="62" t="n">
        <x:v>44287</x:v>
      </x:c>
      <x:c r="B5" s="63" t="n">
        <x:v>0.31</x:v>
      </x:c>
      <x:c r="C5" s="63" t="n">
        <x:v>6.76</x:v>
      </x:c>
      <x:c r="D5" s="63" t="n"/>
      <x:c r="E5" s="269" t="str">
        <x:f>""</x:f>
      </x:c>
      <x:c r="F5" s="63" t="n">
        <x:v>3.75</x:v>
      </x:c>
      <x:c r="G5" s="63" t="n">
        <x:v>2.75</x:v>
      </x:c>
      <x:c r="H5" s="63" t="n">
        <x:v>2.75</x:v>
      </x:c>
      <x:c r="I5" s="63" t="n">
        <x:v>96.32579</x:v>
      </x:c>
      <x:c r="J5" s="63" t="n">
        <x:v>97.40195</x:v>
      </x:c>
      <x:c r="K5" s="63" t="n">
        <x:f>(I5/I4-1)*100</x:f>
        <x:v>1.0687652283909665</x:v>
      </x:c>
      <x:c r="L5" s="269" t="n">
        <x:v>94.64</x:v>
      </x:c>
      <x:c r="M5" s="269" t="n">
        <x:v>106.41</x:v>
      </x:c>
      <x:c r="N5" s="269" t="n">
        <x:f>(L5/L4-1)*100</x:f>
        <x:v>1.5123887160785054</x:v>
      </x:c>
    </x:row>
    <x:row r="6" s="43" customFormat="1" ht="15" customHeight="1">
      <x:c r="A6" s="60" t="n">
        <x:v>44317</x:v>
      </x:c>
      <x:c r="B6" s="61" t="n">
        <x:v>0.83</x:v>
      </x:c>
      <x:c r="C6" s="61" t="n">
        <x:v>8.06</x:v>
      </x:c>
      <x:c r="D6" s="61" t="n"/>
      <x:c r="E6" s="268" t="str">
        <x:f>""</x:f>
      </x:c>
      <x:c r="F6" s="61" t="n">
        <x:v>3.75</x:v>
      </x:c>
      <x:c r="G6" s="61" t="n">
        <x:v>3.5</x:v>
      </x:c>
      <x:c r="H6" s="61" t="n">
        <x:v>3.37903225806452</x:v>
      </x:c>
      <x:c r="I6" s="61" t="n">
        <x:v>97.02449</x:v>
      </x:c>
      <x:c r="J6" s="61" t="n">
        <x:v>96.01473</x:v>
      </x:c>
      <x:c r="K6" s="61" t="n">
        <x:f>(I6/I5-1)*100</x:f>
        <x:v>0.7253509158865912</x:v>
      </x:c>
      <x:c r="L6" s="268" t="n">
        <x:v>98.65</x:v>
      </x:c>
      <x:c r="M6" s="268" t="n">
        <x:v>95.72</x:v>
      </x:c>
      <x:c r="N6" s="268" t="n">
        <x:f>(L6/L5-1)*100</x:f>
        <x:v>4.237109044801368</x:v>
      </x:c>
    </x:row>
    <x:row r="7" s="43" customFormat="1" ht="15" customHeight="1">
      <x:c r="A7" s="62" t="n">
        <x:v>44348</x:v>
      </x:c>
      <x:c r="B7" s="63" t="n">
        <x:v>0.53</x:v>
      </x:c>
      <x:c r="C7" s="63" t="n">
        <x:v>8.35</x:v>
      </x:c>
      <x:c r="D7" s="63" t="n"/>
      <x:c r="E7" s="269" t="str">
        <x:f>""</x:f>
      </x:c>
      <x:c r="F7" s="63" t="n">
        <x:v>3.75</x:v>
      </x:c>
      <x:c r="G7" s="63" t="n">
        <x:v>4.25</x:v>
      </x:c>
      <x:c r="H7" s="63" t="n">
        <x:v>3.85</x:v>
      </x:c>
      <x:c r="I7" s="63" t="n">
        <x:v>96.74657</x:v>
      </x:c>
      <x:c r="J7" s="63" t="n">
        <x:v>96.4674</x:v>
      </x:c>
      <x:c r="K7" s="63" t="n">
        <x:f>(I7/I6-1)*100</x:f>
        <x:v>-0.2864431444061122</x:v>
      </x:c>
      <x:c r="L7" s="269" t="n">
        <x:v>97.59</x:v>
      </x:c>
      <x:c r="M7" s="269" t="n">
        <x:v>94.53</x:v>
      </x:c>
      <x:c r="N7" s="269" t="n">
        <x:f>(L7/L6-1)*100</x:f>
        <x:v>-1.0745058286872777</x:v>
      </x:c>
    </x:row>
    <x:row r="8" s="43" customFormat="1" ht="15" customHeight="1">
      <x:c r="A8" s="60" t="n">
        <x:v>44378</x:v>
      </x:c>
      <x:c r="B8" s="61" t="n">
        <x:v>0.96</x:v>
      </x:c>
      <x:c r="C8" s="61" t="n">
        <x:v>8.99</x:v>
      </x:c>
      <x:c r="D8" s="61" t="n"/>
      <x:c r="E8" s="268" t="str">
        <x:f>""</x:f>
      </x:c>
      <x:c r="F8" s="61" t="n">
        <x:v>3.75</x:v>
      </x:c>
      <x:c r="G8" s="61" t="n">
        <x:v>4.25</x:v>
      </x:c>
      <x:c r="H8" s="61" t="n">
        <x:v>4.25</x:v>
      </x:c>
      <x:c r="I8" s="61" t="n">
        <x:v>96.4199</x:v>
      </x:c>
      <x:c r="J8" s="61" t="n">
        <x:v>99.8352</x:v>
      </x:c>
      <x:c r="K8" s="61" t="n">
        <x:f>(I8/I7-1)*100</x:f>
        <x:v>-0.33765538147761953</x:v>
      </x:c>
      <x:c r="L8" s="268" t="n">
        <x:v>96.41</x:v>
      </x:c>
      <x:c r="M8" s="268" t="n">
        <x:v>117.74</x:v>
      </x:c>
      <x:c r="N8" s="268" t="n">
        <x:f>(L8/L7-1)*100</x:f>
        <x:v>-1.2091402807664742</x:v>
      </x:c>
    </x:row>
    <x:row r="9" s="43" customFormat="1" ht="15" customHeight="1">
      <x:c r="A9" s="62" t="n">
        <x:v>44409</x:v>
      </x:c>
      <x:c r="B9" s="63" t="n">
        <x:v>0.87</x:v>
      </x:c>
      <x:c r="C9" s="63" t="n">
        <x:v>9.68</x:v>
      </x:c>
      <x:c r="D9" s="63" t="n"/>
      <x:c r="E9" s="269" t="str">
        <x:f>""</x:f>
      </x:c>
      <x:c r="F9" s="63" t="n">
        <x:v>3.75</x:v>
      </x:c>
      <x:c r="G9" s="63" t="n">
        <x:v>5.25</x:v>
      </x:c>
      <x:c r="H9" s="63" t="n">
        <x:v>5.12096774193548</x:v>
      </x:c>
      <x:c r="I9" s="63" t="n">
        <x:v>97.02244</x:v>
      </x:c>
      <x:c r="J9" s="63" t="n">
        <x:v>99.19351</x:v>
      </x:c>
      <x:c r="K9" s="63" t="n">
        <x:f>(I9/I8-1)*100</x:f>
        <x:v>0.6249124921307692</x:v>
      </x:c>
      <x:c r="L9" s="269" t="n">
        <x:v>97.45</x:v>
      </x:c>
      <x:c r="M9" s="269" t="n">
        <x:v>103.71</x:v>
      </x:c>
      <x:c r="N9" s="269" t="n">
        <x:f>(L9/L8-1)*100</x:f>
        <x:v>1.0787262732081748</x:v>
      </x:c>
    </x:row>
    <x:row r="10" s="43" customFormat="1" ht="15" customHeight="1">
      <x:c r="A10" s="60" t="n">
        <x:v>44440</x:v>
      </x:c>
      <x:c r="B10" s="61" t="n">
        <x:v>1.16</x:v>
      </x:c>
      <x:c r="C10" s="61" t="n">
        <x:v>10.25</x:v>
      </x:c>
      <x:c r="D10" s="61" t="n"/>
      <x:c r="E10" s="268" t="str">
        <x:f>""</x:f>
      </x:c>
      <x:c r="F10" s="61" t="n">
        <x:v>3.75</x:v>
      </x:c>
      <x:c r="G10" s="61" t="n">
        <x:v>6.25</x:v>
      </x:c>
      <x:c r="H10" s="61" t="n">
        <x:v>5.51666666666667</x:v>
      </x:c>
      <x:c r="I10" s="61" t="n">
        <x:v>96.96297</x:v>
      </x:c>
      <x:c r="J10" s="61" t="n">
        <x:v>97.10777</x:v>
      </x:c>
      <x:c r="K10" s="61" t="n">
        <x:f>(I10/I9-1)*100</x:f>
        <x:v>-0.061295098329838815</x:v>
      </x:c>
      <x:c r="L10" s="268" t="n">
        <x:v>96.78</x:v>
      </x:c>
      <x:c r="M10" s="268" t="n">
        <x:v>92.43</x:v>
      </x:c>
      <x:c r="N10" s="268" t="n">
        <x:f>(L10/L9-1)*100</x:f>
        <x:v>-0.6875320677270369</x:v>
      </x:c>
    </x:row>
    <x:row r="11" s="43" customFormat="1" ht="15" customHeight="1">
      <x:c r="A11" s="62" t="n">
        <x:v>44470</x:v>
      </x:c>
      <x:c r="B11" s="63" t="n">
        <x:v>1.25</x:v>
      </x:c>
      <x:c r="C11" s="63" t="n">
        <x:v>10.67</x:v>
      </x:c>
      <x:c r="D11" s="63" t="n"/>
      <x:c r="E11" s="269" t="str">
        <x:f>""</x:f>
      </x:c>
      <x:c r="F11" s="63" t="n">
        <x:v>3.75</x:v>
      </x:c>
      <x:c r="G11" s="63" t="n">
        <x:v>7.75</x:v>
      </x:c>
      <x:c r="H11" s="63" t="n">
        <x:v>6.44354838709677</x:v>
      </x:c>
      <x:c r="I11" s="63" t="n">
        <x:v>97.48845</x:v>
      </x:c>
      <x:c r="J11" s="63" t="n">
        <x:v>96.53041</x:v>
      </x:c>
      <x:c r="K11" s="63" t="n">
        <x:f>(I11/I10-1)*100</x:f>
        <x:v>0.5419388453138385</x:v>
      </x:c>
      <x:c r="L11" s="269" t="n">
        <x:v>97.77</x:v>
      </x:c>
      <x:c r="M11" s="269" t="n">
        <x:v>90.47</x:v>
      </x:c>
      <x:c r="N11" s="269" t="n">
        <x:f>(L11/L10-1)*100</x:f>
        <x:v>1.0229386236825677</x:v>
      </x:c>
    </x:row>
    <x:row r="12" s="43" customFormat="1" ht="15" customHeight="1">
      <x:c r="A12" s="60" t="n">
        <x:v>44501</x:v>
      </x:c>
      <x:c r="B12" s="61" t="n">
        <x:v>0.95</x:v>
      </x:c>
      <x:c r="C12" s="61" t="n">
        <x:v>10.74</x:v>
      </x:c>
      <x:c r="D12" s="61" t="n"/>
      <x:c r="E12" s="268" t="str">
        <x:f>""</x:f>
      </x:c>
      <x:c r="F12" s="61" t="n">
        <x:v>3.75</x:v>
      </x:c>
      <x:c r="G12" s="61" t="n">
        <x:v>7.75</x:v>
      </x:c>
      <x:c r="H12" s="61" t="n">
        <x:v>7.75</x:v>
      </x:c>
      <x:c r="I12" s="61" t="n">
        <x:v>99.05624</x:v>
      </x:c>
      <x:c r="J12" s="61" t="n">
        <x:v>97.85277</x:v>
      </x:c>
      <x:c r="K12" s="61" t="n">
        <x:f>(I12/I11-1)*100</x:f>
        <x:v>1.6081802510964138</x:v>
      </x:c>
      <x:c r="L12" s="268" t="n">
        <x:v>98.42</x:v>
      </x:c>
      <x:c r="M12" s="268" t="n">
        <x:v>85.3</x:v>
      </x:c>
      <x:c r="N12" s="268" t="n">
        <x:f>(L12/L11-1)*100</x:f>
        <x:v>0.6648256111281725</x:v>
      </x:c>
    </x:row>
    <x:row r="13" s="43" customFormat="1" ht="15" customHeight="1">
      <x:c r="A13" s="62" t="n">
        <x:v>44531</x:v>
      </x:c>
      <x:c r="B13" s="63" t="n">
        <x:v>0.73</x:v>
      </x:c>
      <x:c r="C13" s="63" t="n">
        <x:v>10.06</x:v>
      </x:c>
      <x:c r="D13" s="63" t="n"/>
      <x:c r="E13" s="269" t="str">
        <x:f>IF(COUNT(D2:D13)=12,(PRODUCT((D2/100+1),(D3/100+1),(D4/100+1),(D5/100+1),(D6/100+1),(D7/100+1),(D8/100+1),(D9/100+1),(D10/100+1),(D11/100+1),(D12/100+1),(D13/100+1))-1)*100,"")</x:f>
      </x:c>
      <x:c r="F13" s="63" t="n">
        <x:v>3.75</x:v>
      </x:c>
      <x:c r="G13" s="63" t="n">
        <x:v>9.25</x:v>
      </x:c>
      <x:c r="H13" s="63" t="n">
        <x:v>8.86290322580645</x:v>
      </x:c>
      <x:c r="I13" s="63" t="n">
        <x:v>99.38482</x:v>
      </x:c>
      <x:c r="J13" s="63" t="n">
        <x:v>99.32258</x:v>
      </x:c>
      <x:c r="K13" s="63" t="n">
        <x:f>(I13/I12-1)*100</x:f>
        <x:v>0.33171055150085227</x:v>
      </x:c>
      <x:c r="L13" s="269" t="n">
        <x:v>99.52</x:v>
      </x:c>
      <x:c r="M13" s="269" t="n">
        <x:v>86.6</x:v>
      </x:c>
      <x:c r="N13" s="269" t="n">
        <x:f>(L13/L12-1)*100</x:f>
        <x:v>1.117659012395844</x:v>
      </x:c>
    </x:row>
    <x:row r="14" s="43" customFormat="1" ht="15" customHeight="1">
      <x:c r="A14" s="60" t="n">
        <x:v>44562</x:v>
      </x:c>
      <x:c r="B14" s="61" t="n">
        <x:v>0.54</x:v>
      </x:c>
      <x:c r="C14" s="61" t="n">
        <x:v>10.38</x:v>
      </x:c>
      <x:c r="D14" s="61" t="n"/>
      <x:c r="E14" s="268" t="str">
        <x:f>IF(COUNT(D3:D14)=12,(PRODUCT((D3/100+1),(D4/100+1),(D5/100+1),(D6/100+1),(D7/100+1),(D8/100+1),(D9/100+1),(D10/100+1),(D11/100+1),(D12/100+1),(D13/100+1),(D14/100+1))-1)*100,"")</x:f>
      </x:c>
      <x:c r="F14" s="61" t="n">
        <x:v>3.5</x:v>
      </x:c>
      <x:c r="G14" s="61" t="n">
        <x:v>9.25</x:v>
      </x:c>
      <x:c r="H14" s="61" t="n">
        <x:v>9.25</x:v>
      </x:c>
      <x:c r="I14" s="61" t="n">
        <x:v>97.4208</x:v>
      </x:c>
      <x:c r="J14" s="61" t="n">
        <x:v>91.67776</x:v>
      </x:c>
      <x:c r="K14" s="61" t="n">
        <x:f>(I14/I13-1)*100</x:f>
        <x:v>-1.9761770459512884</x:v>
      </x:c>
      <x:c r="L14" s="268" t="n">
        <x:v>98.6</x:v>
      </x:c>
      <x:c r="M14" s="268" t="n">
        <x:v>86.81</x:v>
      </x:c>
      <x:c r="N14" s="268" t="n">
        <x:f>(L14/L13-1)*100</x:f>
        <x:v>-0.9244372990353744</x:v>
      </x:c>
    </x:row>
    <x:row r="15" s="43" customFormat="1" ht="15" customHeight="1">
      <x:c r="A15" s="62" t="n">
        <x:v>44593</x:v>
      </x:c>
      <x:c r="B15" s="63" t="n">
        <x:v>1.01</x:v>
      </x:c>
      <x:c r="C15" s="63" t="n">
        <x:v>10.54</x:v>
      </x:c>
      <x:c r="D15" s="63" t="n"/>
      <x:c r="E15" s="269" t="str">
        <x:f>IF(COUNT(D4:D15)=12,(PRODUCT((D4/100+1),(D5/100+1),(D6/100+1),(D7/100+1),(D8/100+1),(D9/100+1),(D10/100+1),(D11/100+1),(D12/100+1),(D13/100+1),(D14/100+1),(D15/100+1))-1)*100,"")</x:f>
      </x:c>
      <x:c r="F15" s="63" t="n">
        <x:v>3.5</x:v>
      </x:c>
      <x:c r="G15" s="63" t="n">
        <x:v>10.75</x:v>
      </x:c>
      <x:c r="H15" s="63" t="n">
        <x:v>10.6428571428571</x:v>
      </x:c>
      <x:c r="I15" s="63" t="n">
        <x:v>98.49135</x:v>
      </x:c>
      <x:c r="J15" s="63" t="n">
        <x:v>95.63729</x:v>
      </x:c>
      <x:c r="K15" s="63" t="n">
        <x:f>(I15/I14-1)*100</x:f>
        <x:v>1.098892638943627</x:v>
      </x:c>
      <x:c r="L15" s="269" t="n">
        <x:v>104.42</x:v>
      </x:c>
      <x:c r="M15" s="269" t="n">
        <x:v>107.43</x:v>
      </x:c>
      <x:c r="N15" s="269" t="n">
        <x:f>(L15/L14-1)*100</x:f>
        <x:v>5.902636916835702</x:v>
      </x:c>
    </x:row>
    <x:row r="16" s="43" customFormat="1" ht="15" customHeight="1">
      <x:c r="A16" s="60" t="n">
        <x:v>44621</x:v>
      </x:c>
      <x:c r="B16" s="61" t="n">
        <x:v>1.62</x:v>
      </x:c>
      <x:c r="C16" s="61" t="n">
        <x:v>11.3</x:v>
      </x:c>
      <x:c r="D16" s="61" t="n"/>
      <x:c r="E16" s="268" t="str">
        <x:f>IF(COUNT(D5:D16)=12,(PRODUCT((D5/100+1),(D6/100+1),(D7/100+1),(D8/100+1),(D9/100+1),(D10/100+1),(D11/100+1),(D12/100+1),(D13/100+1),(D14/100+1),(D15/100+1),(D16/100+1))-1)*100,"")</x:f>
      </x:c>
      <x:c r="F16" s="61" t="n">
        <x:v>3.5</x:v>
      </x:c>
      <x:c r="G16" s="61" t="n">
        <x:v>11.75</x:v>
      </x:c>
      <x:c r="H16" s="61" t="n">
        <x:v>11.2338709677419</x:v>
      </x:c>
      <x:c r="I16" s="61" t="n">
        <x:v>99.56176</x:v>
      </x:c>
      <x:c r="J16" s="61" t="n">
        <x:v>104.53237</x:v>
      </x:c>
      <x:c r="K16" s="61" t="n">
        <x:f>(I16/I15-1)*100</x:f>
        <x:v>1.0868061002311524</x:v>
      </x:c>
      <x:c r="L16" s="268" t="n">
        <x:v>109.18</x:v>
      </x:c>
      <x:c r="M16" s="268" t="n">
        <x:v>124.07</x:v>
      </x:c>
      <x:c r="N16" s="268" t="n">
        <x:f>(L16/L15-1)*100</x:f>
        <x:v>4.55851369469451</x:v>
      </x:c>
    </x:row>
    <x:row r="17" s="43" customFormat="1" ht="15" customHeight="1">
      <x:c r="A17" s="62" t="n">
        <x:v>44652</x:v>
      </x:c>
      <x:c r="B17" s="63" t="n">
        <x:v>1.06</x:v>
      </x:c>
      <x:c r="C17" s="63" t="n">
        <x:v>12.13</x:v>
      </x:c>
      <x:c r="D17" s="63" t="n"/>
      <x:c r="E17" s="269" t="str">
        <x:f>IF(COUNT(D6:D17)=12,(PRODUCT((D6/100+1),(D7/100+1),(D8/100+1),(D9/100+1),(D10/100+1),(D11/100+1),(D12/100+1),(D13/100+1),(D14/100+1),(D15/100+1),(D16/100+1),(D17/100+1))-1)*100,"")</x:f>
      </x:c>
      <x:c r="F17" s="63" t="n">
        <x:v>3.5</x:v>
      </x:c>
      <x:c r="G17" s="63" t="n">
        <x:v>11.75</x:v>
      </x:c>
      <x:c r="H17" s="63" t="n">
        <x:v>11.75</x:v>
      </x:c>
      <x:c r="I17" s="63" t="n">
        <x:v>99.45421</x:v>
      </x:c>
      <x:c r="J17" s="63" t="n">
        <x:v>100.22938</x:v>
      </x:c>
      <x:c r="K17" s="63" t="n">
        <x:f>(I17/I16-1)*100</x:f>
        <x:v>-0.10802340175586345</x:v>
      </x:c>
      <x:c r="L17" s="269" t="n">
        <x:v>105.41</x:v>
      </x:c>
      <x:c r="M17" s="269" t="n">
        <x:v>119.55</x:v>
      </x:c>
      <x:c r="N17" s="269" t="n">
        <x:f>(L17/L16-1)*100</x:f>
        <x:v>-3.453013372412539</x:v>
      </x:c>
    </x:row>
    <x:row r="18" s="43" customFormat="1" ht="15" customHeight="1">
      <x:c r="A18" s="60" t="n">
        <x:v>44682</x:v>
      </x:c>
      <x:c r="B18" s="61" t="n">
        <x:v>0.47</x:v>
      </x:c>
      <x:c r="C18" s="61" t="n">
        <x:v>11.73</x:v>
      </x:c>
      <x:c r="D18" s="61" t="n"/>
      <x:c r="E18" s="268" t="str">
        <x:f>IF(COUNT(D7:D18)=12,(PRODUCT((D7/100+1),(D8/100+1),(D9/100+1),(D10/100+1),(D11/100+1),(D12/100+1),(D13/100+1),(D14/100+1),(D15/100+1),(D16/100+1),(D17/100+1),(D18/100+1))-1)*100,"")</x:f>
      </x:c>
      <x:c r="F18" s="61" t="n">
        <x:v>3.5</x:v>
      </x:c>
      <x:c r="G18" s="61" t="n">
        <x:v>12.75</x:v>
      </x:c>
      <x:c r="H18" s="61" t="n">
        <x:v>12.6209677419355</x:v>
      </x:c>
      <x:c r="I18" s="61" t="n">
        <x:v>99.64297</x:v>
      </x:c>
      <x:c r="J18" s="61" t="n">
        <x:v>99.74383</x:v>
      </x:c>
      <x:c r="K18" s="61" t="n">
        <x:f>(I18/I17-1)*100</x:f>
        <x:v>0.18979588697149996</x:v>
      </x:c>
      <x:c r="L18" s="268" t="n">
        <x:v>98.78</x:v>
      </x:c>
      <x:c r="M18" s="268" t="n">
        <x:v>96.04</x:v>
      </x:c>
      <x:c r="N18" s="268" t="n">
        <x:f>(L18/L17-1)*100</x:f>
        <x:v>-6.289725832463711</x:v>
      </x:c>
    </x:row>
    <x:row r="19" s="43" customFormat="1" ht="15" customHeight="1">
      <x:c r="A19" s="62" t="n">
        <x:v>44713</x:v>
      </x:c>
      <x:c r="B19" s="63" t="n">
        <x:v>0.67</x:v>
      </x:c>
      <x:c r="C19" s="63" t="n">
        <x:v>11.89</x:v>
      </x:c>
      <x:c r="D19" s="63" t="n"/>
      <x:c r="E19" s="269" t="str">
        <x:f>IF(COUNT(D8:D19)=12,(PRODUCT((D8/100+1),(D9/100+1),(D10/100+1),(D11/100+1),(D12/100+1),(D13/100+1),(D14/100+1),(D15/100+1),(D16/100+1),(D17/100+1),(D18/100+1),(D19/100+1))-1)*100,"")</x:f>
      </x:c>
      <x:c r="F19" s="63" t="n">
        <x:v>3.5</x:v>
      </x:c>
      <x:c r="G19" s="63" t="n">
        <x:v>13.25</x:v>
      </x:c>
      <x:c r="H19" s="63" t="n">
        <x:v>13</x:v>
      </x:c>
      <x:c r="I19" s="63" t="n">
        <x:v>99.49797</x:v>
      </x:c>
      <x:c r="J19" s="63" t="n">
        <x:v>99.31653</x:v>
      </x:c>
      <x:c r="K19" s="63" t="n">
        <x:f>(I19/I18-1)*100</x:f>
        <x:v>-0.14551954844381765</x:v>
      </x:c>
      <x:c r="L19" s="269" t="n">
        <x:v>97.22</x:v>
      </x:c>
      <x:c r="M19" s="269" t="n">
        <x:v>93.67</x:v>
      </x:c>
      <x:c r="N19" s="269" t="n">
        <x:f>(L19/L18-1)*100</x:f>
        <x:v>-1.5792670581089352</x:v>
      </x:c>
    </x:row>
    <x:row r="20" s="43" customFormat="1" ht="15" customHeight="1">
      <x:c r="A20" s="60" t="n">
        <x:v>44743</x:v>
      </x:c>
      <x:c r="B20" s="61" t="n">
        <x:v>-0.68</x:v>
      </x:c>
      <x:c r="C20" s="61" t="n">
        <x:v>10.07</x:v>
      </x:c>
      <x:c r="D20" s="61" t="n"/>
      <x:c r="E20" s="268" t="str">
        <x:f>IF(COUNT(D9:D20)=12,(PRODUCT((D9/100+1),(D10/100+1),(D11/100+1),(D12/100+1),(D13/100+1),(D14/100+1),(D15/100+1),(D16/100+1),(D17/100+1),(D18/100+1),(D19/100+1),(D20/100+1))-1)*100,"")</x:f>
      </x:c>
      <x:c r="F20" s="61" t="n">
        <x:v>3.5</x:v>
      </x:c>
      <x:c r="G20" s="61" t="n">
        <x:v>13.25</x:v>
      </x:c>
      <x:c r="H20" s="61" t="n">
        <x:v>13.25</x:v>
      </x:c>
      <x:c r="I20" s="61" t="n">
        <x:v>101.41926</x:v>
      </x:c>
      <x:c r="J20" s="61" t="n">
        <x:v>103.95991</x:v>
      </x:c>
      <x:c r="K20" s="61" t="n">
        <x:f>(I20/I19-1)*100</x:f>
        <x:v>1.9309841195755073</x:v>
      </x:c>
      <x:c r="L20" s="268" t="n">
        <x:v>99.08</x:v>
      </x:c>
      <x:c r="M20" s="268" t="n">
        <x:v>120.29</x:v>
      </x:c>
      <x:c r="N20" s="268" t="n">
        <x:f>(L20/L19-1)*100</x:f>
        <x:v>1.9131865871219844</x:v>
      </x:c>
    </x:row>
    <x:row r="21" s="43" customFormat="1" ht="15" customHeight="1">
      <x:c r="A21" s="62" t="n">
        <x:v>44774</x:v>
      </x:c>
      <x:c r="B21" s="63" t="n">
        <x:v>-0.36</x:v>
      </x:c>
      <x:c r="C21" s="63" t="n">
        <x:v>8.73</x:v>
      </x:c>
      <x:c r="D21" s="63" t="n"/>
      <x:c r="E21" s="269" t="str">
        <x:f>IF(COUNT(D10:D21)=12,(PRODUCT((D10/100+1),(D11/100+1),(D12/100+1),(D13/100+1),(D14/100+1),(D15/100+1),(D16/100+1),(D17/100+1),(D18/100+1),(D19/100+1),(D20/100+1),(D21/100+1))-1)*100,"")</x:f>
      </x:c>
      <x:c r="F21" s="63" t="n">
        <x:v>3.5</x:v>
      </x:c>
      <x:c r="G21" s="63" t="n">
        <x:v>13.75</x:v>
      </x:c>
      <x:c r="H21" s="63" t="n">
        <x:v>13.7016129032258</x:v>
      </x:c>
      <x:c r="I21" s="63" t="n">
        <x:v>101.10264</x:v>
      </x:c>
      <x:c r="J21" s="63" t="n">
        <x:v>104.51156</x:v>
      </x:c>
      <x:c r="K21" s="63" t="n">
        <x:f>(I21/I20-1)*100</x:f>
        <x:v>-0.3121892232303858</x:v>
      </x:c>
      <x:c r="L21" s="269" t="n">
        <x:v>96.49</x:v>
      </x:c>
      <x:c r="M21" s="269" t="n">
        <x:v>102.8</x:v>
      </x:c>
      <x:c r="N21" s="269" t="n">
        <x:f>(L21/L20-1)*100</x:f>
        <x:v>-2.6140492531287918</x:v>
      </x:c>
    </x:row>
    <x:row r="22" s="43" customFormat="1" ht="15" customHeight="1">
      <x:c r="A22" s="60" t="n">
        <x:v>44805</x:v>
      </x:c>
      <x:c r="B22" s="61" t="n">
        <x:v>-0.29</x:v>
      </x:c>
      <x:c r="C22" s="61" t="n">
        <x:v>7.17</x:v>
      </x:c>
      <x:c r="D22" s="61" t="n"/>
      <x:c r="E22" s="268" t="str">
        <x:f>IF(COUNT(D11:D22)=12,(PRODUCT((D11/100+1),(D12/100+1),(D13/100+1),(D14/100+1),(D15/100+1),(D16/100+1),(D17/100+1),(D18/100+1),(D19/100+1),(D20/100+1),(D21/100+1),(D22/100+1))-1)*100,"")</x:f>
      </x:c>
      <x:c r="F22" s="61" t="n">
        <x:v>3.5</x:v>
      </x:c>
      <x:c r="G22" s="61" t="n">
        <x:v>13.75</x:v>
      </x:c>
      <x:c r="H22" s="61" t="n">
        <x:v>13.75</x:v>
      </x:c>
      <x:c r="I22" s="61" t="n">
        <x:v>101.1562</x:v>
      </x:c>
      <x:c r="J22" s="61" t="n">
        <x:v>101.1889</x:v>
      </x:c>
      <x:c r="K22" s="61" t="n">
        <x:f>(I22/I21-1)*100</x:f>
        <x:v>0.052975866901205926</x:v>
      </x:c>
      <x:c r="L22" s="268" t="n">
        <x:v>97.74</x:v>
      </x:c>
      <x:c r="M22" s="268" t="n">
        <x:v>92.53</x:v>
      </x:c>
      <x:c r="N22" s="268" t="n">
        <x:f>(L22/L21-1)*100</x:f>
        <x:v>1.2954710332677033</x:v>
      </x:c>
    </x:row>
    <x:row r="23" s="43" customFormat="1" ht="15" customHeight="1">
      <x:c r="A23" s="62" t="n">
        <x:v>44835</x:v>
      </x:c>
      <x:c r="B23" s="63" t="n">
        <x:v>0.59</x:v>
      </x:c>
      <x:c r="C23" s="63" t="n">
        <x:v>6.47</x:v>
      </x:c>
      <x:c r="D23" s="63" t="n"/>
      <x:c r="E23" s="269" t="str">
        <x:f>IF(COUNT(D12:D23)=12,(PRODUCT((D12/100+1),(D13/100+1),(D14/100+1),(D15/100+1),(D16/100+1),(D17/100+1),(D18/100+1),(D19/100+1),(D20/100+1),(D21/100+1),(D22/100+1),(D23/100+1))-1)*100,"")</x:f>
      </x:c>
      <x:c r="F23" s="63" t="n">
        <x:v>3.5</x:v>
      </x:c>
      <x:c r="G23" s="63" t="n">
        <x:v>13.75</x:v>
      </x:c>
      <x:c r="H23" s="63" t="n">
        <x:v>13.75</x:v>
      </x:c>
      <x:c r="I23" s="63" t="n">
        <x:v>101.43769</x:v>
      </x:c>
      <x:c r="J23" s="63" t="n">
        <x:v>100.08177</x:v>
      </x:c>
      <x:c r="K23" s="63" t="n">
        <x:f>(I23/I22-1)*100</x:f>
        <x:v>0.2782726120593715</x:v>
      </x:c>
      <x:c r="L23" s="269" t="n">
        <x:v>97.11</x:v>
      </x:c>
      <x:c r="M23" s="269" t="n">
        <x:v>88.77</x:v>
      </x:c>
      <x:c r="N23" s="269" t="n">
        <x:f>(L23/L22-1)*100</x:f>
        <x:v>-0.6445672191528473</x:v>
      </x:c>
    </x:row>
    <x:row r="24" s="43" customFormat="1" ht="15" customHeight="1">
      <x:c r="A24" s="60" t="n">
        <x:v>44866</x:v>
      </x:c>
      <x:c r="B24" s="61" t="n">
        <x:v>0.41</x:v>
      </x:c>
      <x:c r="C24" s="61" t="n">
        <x:v>5.9</x:v>
      </x:c>
      <x:c r="D24" s="61" t="n"/>
      <x:c r="E24" s="268" t="str">
        <x:f>IF(COUNT(D13:D24)=12,(PRODUCT((D13/100+1),(D14/100+1),(D15/100+1),(D16/100+1),(D17/100+1),(D18/100+1),(D19/100+1),(D20/100+1),(D21/100+1),(D22/100+1),(D23/100+1),(D24/100+1))-1)*100,"")</x:f>
      </x:c>
      <x:c r="F24" s="61" t="n">
        <x:v>3.5</x:v>
      </x:c>
      <x:c r="G24" s="61" t="n">
        <x:v>13.75</x:v>
      </x:c>
      <x:c r="H24" s="61" t="n">
        <x:v>13.75</x:v>
      </x:c>
      <x:c r="I24" s="61" t="n">
        <x:v>100.71743</x:v>
      </x:c>
      <x:c r="J24" s="61" t="n">
        <x:v>99.15032</x:v>
      </x:c>
      <x:c r="K24" s="61" t="n">
        <x:f>(I24/I23-1)*100</x:f>
        <x:v>-0.7100516583136041</x:v>
      </x:c>
      <x:c r="L24" s="268" t="n">
        <x:v>98.04</x:v>
      </x:c>
      <x:c r="M24" s="268" t="n">
        <x:v>84.25</x:v>
      </x:c>
      <x:c r="N24" s="268" t="n">
        <x:f>(L24/L23-1)*100</x:f>
        <x:v>0.9576768612913344</x:v>
      </x:c>
    </x:row>
    <x:row r="25" s="43" customFormat="1" ht="15" customHeight="1">
      <x:c r="A25" s="62" t="n">
        <x:v>44896</x:v>
      </x:c>
      <x:c r="B25" s="63" t="n">
        <x:v>0.62</x:v>
      </x:c>
      <x:c r="C25" s="63" t="n">
        <x:v>5.79</x:v>
      </x:c>
      <x:c r="D25" s="63" t="n"/>
      <x:c r="E25" s="269" t="str">
        <x:f>IF(COUNT(D14:D25)=12,(PRODUCT((D14/100+1),(D15/100+1),(D16/100+1),(D17/100+1),(D18/100+1),(D19/100+1),(D20/100+1),(D21/100+1),(D22/100+1),(D23/100+1),(D24/100+1),(D25/100+1))-1)*100,"")</x:f>
      </x:c>
      <x:c r="F25" s="63" t="n">
        <x:v>3.5</x:v>
      </x:c>
      <x:c r="G25" s="63" t="n">
        <x:v>13.75</x:v>
      </x:c>
      <x:c r="H25" s="63" t="n">
        <x:v>13.75</x:v>
      </x:c>
      <x:c r="I25" s="63" t="n">
        <x:v>100.59088</x:v>
      </x:c>
      <x:c r="J25" s="63" t="n">
        <x:v>99.97037</x:v>
      </x:c>
      <x:c r="K25" s="63" t="n">
        <x:f>(I25/I24-1)*100</x:f>
        <x:v>-0.1256485595392931</x:v>
      </x:c>
      <x:c r="L25" s="269" t="n">
        <x:v>97.06</x:v>
      </x:c>
      <x:c r="M25" s="269" t="n">
        <x:v>83.78</x:v>
      </x:c>
      <x:c r="N25" s="269" t="n">
        <x:f>(L25/L24-1)*100</x:f>
        <x:v>-0.9995920032639827</x:v>
      </x:c>
    </x:row>
    <x:row r="26" s="43" customFormat="1" ht="15" customHeight="1">
      <x:c r="A26" s="60" t="n">
        <x:v>44927</x:v>
      </x:c>
      <x:c r="B26" s="61" t="n">
        <x:v>0.53</x:v>
      </x:c>
      <x:c r="C26" s="61" t="n">
        <x:v>5.77</x:v>
      </x:c>
      <x:c r="D26" s="61" t="n"/>
      <x:c r="E26" s="268" t="str">
        <x:f>IF(COUNT(D15:D26)=12,(PRODUCT((D15/100+1),(D16/100+1),(D17/100+1),(D18/100+1),(D19/100+1),(D20/100+1),(D21/100+1),(D22/100+1),(D23/100+1),(D24/100+1),(D25/100+1),(D26/100+1))-1)*100,"")</x:f>
      </x:c>
      <x:c r="F26" s="61" t="n">
        <x:v>3.25</x:v>
      </x:c>
      <x:c r="G26" s="61" t="n">
        <x:v>13.75</x:v>
      </x:c>
      <x:c r="H26" s="61" t="n">
        <x:v>13.75</x:v>
      </x:c>
      <x:c r="I26" s="61" t="n">
        <x:v>100.10409</x:v>
      </x:c>
      <x:c r="J26" s="61" t="n">
        <x:v>95.09953</x:v>
      </x:c>
      <x:c r="K26" s="61" t="n">
        <x:f>(I26/I25-1)*100</x:f>
        <x:v>-0.48393055115930617</x:v>
      </x:c>
      <x:c r="L26" s="268" t="n">
        <x:v>103.46</x:v>
      </x:c>
      <x:c r="M26" s="268" t="n">
        <x:v>91.7</x:v>
      </x:c>
      <x:c r="N26" s="268" t="n">
        <x:f>(L26/L25-1)*100</x:f>
        <x:v>6.593859468370078</x:v>
      </x:c>
    </x:row>
    <x:row r="27" s="43" customFormat="1" ht="15" customHeight="1">
      <x:c r="A27" s="62" t="n">
        <x:v>44958</x:v>
      </x:c>
      <x:c r="B27" s="63" t="n">
        <x:v>0.84</x:v>
      </x:c>
      <x:c r="C27" s="63" t="n">
        <x:v>5.6</x:v>
      </x:c>
      <x:c r="D27" s="63" t="n"/>
      <x:c r="E27" s="269" t="str">
        <x:f>IF(COUNT(D16:D27)=12,(PRODUCT((D16/100+1),(D17/100+1),(D18/100+1),(D19/100+1),(D20/100+1),(D21/100+1),(D22/100+1),(D23/100+1),(D24/100+1),(D25/100+1),(D26/100+1),(D27/100+1))-1)*100,"")</x:f>
      </x:c>
      <x:c r="F27" s="63" t="n">
        <x:v>3.25</x:v>
      </x:c>
      <x:c r="G27" s="63" t="n">
        <x:v>13.75</x:v>
      </x:c>
      <x:c r="H27" s="63" t="n">
        <x:v>13.75</x:v>
      </x:c>
      <x:c r="I27" s="63" t="n">
        <x:v>103.08488</x:v>
      </x:c>
      <x:c r="J27" s="63" t="n">
        <x:v>98.64798</x:v>
      </x:c>
      <x:c r="K27" s="63" t="n">
        <x:f>(I27/I26-1)*100</x:f>
        <x:v>2.9776905219357053</x:v>
      </x:c>
      <x:c r="L27" s="269" t="n">
        <x:v>109.05</x:v>
      </x:c>
      <x:c r="M27" s="269" t="n">
        <x:v>112.04</x:v>
      </x:c>
      <x:c r="N27" s="269" t="n">
        <x:f>(L27/L26-1)*100</x:f>
        <x:v>5.4030543205103365</x:v>
      </x:c>
    </x:row>
    <x:row r="28" s="43" customFormat="1" ht="15" customHeight="1">
      <x:c r="A28" s="60" t="n">
        <x:v>44986</x:v>
      </x:c>
      <x:c r="B28" s="61" t="n">
        <x:v>0.71</x:v>
      </x:c>
      <x:c r="C28" s="61" t="n">
        <x:v>4.65</x:v>
      </x:c>
      <x:c r="D28" s="61" t="n"/>
      <x:c r="E28" s="268" t="str">
        <x:f>IF(COUNT(D17:D28)=12,(PRODUCT((D17/100+1),(D18/100+1),(D19/100+1),(D20/100+1),(D21/100+1),(D22/100+1),(D23/100+1),(D24/100+1),(D25/100+1),(D26/100+1),(D27/100+1),(D28/100+1))-1)*100,"")</x:f>
      </x:c>
      <x:c r="F28" s="61" t="n">
        <x:v>3.25</x:v>
      </x:c>
      <x:c r="G28" s="61" t="n">
        <x:v>13.75</x:v>
      </x:c>
      <x:c r="H28" s="61" t="n">
        <x:v>13.75</x:v>
      </x:c>
      <x:c r="I28" s="61" t="n">
        <x:v>103.09631</x:v>
      </x:c>
      <x:c r="J28" s="61" t="n">
        <x:v>110.61922</x:v>
      </x:c>
      <x:c r="K28" s="61" t="n">
        <x:f>(I28/I27-1)*100</x:f>
        <x:v>0.011087950046606565</x:v>
      </x:c>
      <x:c r="L28" s="268" t="n">
        <x:v>111.77</x:v>
      </x:c>
      <x:c r="M28" s="268" t="n">
        <x:v>130.83</x:v>
      </x:c>
      <x:c r="N28" s="268" t="n">
        <x:f>(L28/L27-1)*100</x:f>
        <x:v>2.494268684089862</x:v>
      </x:c>
    </x:row>
    <x:row r="29" s="43" customFormat="1" ht="15" customHeight="1">
      <x:c r="A29" s="62" t="n">
        <x:v>45017</x:v>
      </x:c>
      <x:c r="B29" s="63" t="n">
        <x:v>0.61</x:v>
      </x:c>
      <x:c r="C29" s="63" t="n">
        <x:v>4.18</x:v>
      </x:c>
      <x:c r="D29" s="63" t="n"/>
      <x:c r="E29" s="269" t="str">
        <x:f>IF(COUNT(D18:D29)=12,(PRODUCT((D18/100+1),(D19/100+1),(D20/100+1),(D21/100+1),(D22/100+1),(D23/100+1),(D24/100+1),(D25/100+1),(D26/100+1),(D27/100+1),(D28/100+1),(D29/100+1))-1)*100,"")</x:f>
      </x:c>
      <x:c r="F29" s="63" t="n">
        <x:v>3.25</x:v>
      </x:c>
      <x:c r="G29" s="63" t="n">
        <x:v>13.75</x:v>
      </x:c>
      <x:c r="H29" s="63" t="n">
        <x:v>13.75</x:v>
      </x:c>
      <x:c r="I29" s="63" t="n">
        <x:v>103.92975</x:v>
      </x:c>
      <x:c r="J29" s="63" t="n">
        <x:v>104.04095</x:v>
      </x:c>
      <x:c r="K29" s="63" t="n">
        <x:f>(I29/I28-1)*100</x:f>
        <x:v>0.8084091467483123</x:v>
      </x:c>
      <x:c r="L29" s="269" t="n">
        <x:v>112.35</x:v>
      </x:c>
      <x:c r="M29" s="269" t="n">
        <x:v>127.8</x:v>
      </x:c>
      <x:c r="N29" s="269" t="n">
        <x:f>(L29/L28-1)*100</x:f>
        <x:v>0.518922787867937</x:v>
      </x:c>
    </x:row>
    <x:row r="30" s="43" customFormat="1" ht="15" customHeight="1">
      <x:c r="A30" s="60" t="n">
        <x:v>45047</x:v>
      </x:c>
      <x:c r="B30" s="61" t="n">
        <x:v>0.23</x:v>
      </x:c>
      <x:c r="C30" s="61" t="n">
        <x:v>3.94</x:v>
      </x:c>
      <x:c r="D30" s="61" t="n"/>
      <x:c r="E30" s="268" t="str">
        <x:f>IF(COUNT(D19:D30)=12,(PRODUCT((D19/100+1),(D20/100+1),(D21/100+1),(D22/100+1),(D23/100+1),(D24/100+1),(D25/100+1),(D26/100+1),(D27/100+1),(D28/100+1),(D29/100+1),(D30/100+1))-1)*100,"")</x:f>
      </x:c>
      <x:c r="F30" s="61" t="n">
        <x:v>3.25</x:v>
      </x:c>
      <x:c r="G30" s="61" t="n">
        <x:v>13.75</x:v>
      </x:c>
      <x:c r="H30" s="61" t="n">
        <x:v>13.75</x:v>
      </x:c>
      <x:c r="I30" s="61" t="n">
        <x:v>102.42356</x:v>
      </x:c>
      <x:c r="J30" s="61" t="n">
        <x:v>102.71375</x:v>
      </x:c>
      <x:c r="K30" s="61" t="n">
        <x:f>(I30/I29-1)*100</x:f>
        <x:v>-1.4492385481539194</x:v>
      </x:c>
      <x:c r="L30" s="268" t="n">
        <x:v>103.86</x:v>
      </x:c>
      <x:c r="M30" s="268" t="n">
        <x:v>101.01</x:v>
      </x:c>
      <x:c r="N30" s="268" t="n">
        <x:f>(L30/L29-1)*100</x:f>
        <x:v>-7.556742323097454</x:v>
      </x:c>
    </x:row>
    <x:row r="31" s="43" customFormat="1" ht="15" customHeight="1">
      <x:c r="A31" s="62" t="n">
        <x:v>45078</x:v>
      </x:c>
      <x:c r="B31" s="63" t="n">
        <x:v>-0.08</x:v>
      </x:c>
      <x:c r="C31" s="63" t="n">
        <x:v>3.16</x:v>
      </x:c>
      <x:c r="D31" s="63" t="n"/>
      <x:c r="E31" s="269" t="str">
        <x:f>IF(COUNT(D20:D31)=12,(PRODUCT((D20/100+1),(D21/100+1),(D22/100+1),(D23/100+1),(D24/100+1),(D25/100+1),(D26/100+1),(D27/100+1),(D28/100+1),(D29/100+1),(D30/100+1),(D31/100+1))-1)*100,"")</x:f>
      </x:c>
      <x:c r="F31" s="63" t="n">
        <x:v>3.25</x:v>
      </x:c>
      <x:c r="G31" s="63" t="n">
        <x:v>13.75</x:v>
      </x:c>
      <x:c r="H31" s="63" t="n">
        <x:v>13.75</x:v>
      </x:c>
      <x:c r="I31" s="63" t="n">
        <x:v>102.38761</x:v>
      </x:c>
      <x:c r="J31" s="63" t="n">
        <x:v>102.28352</x:v>
      </x:c>
      <x:c r="K31" s="63" t="n">
        <x:f>(I31/I30-1)*100</x:f>
        <x:v>-0.03509934628321831</x:v>
      </x:c>
      <x:c r="L31" s="269" t="n">
        <x:v>103.64</x:v>
      </x:c>
      <x:c r="M31" s="269" t="n">
        <x:v>98.9</x:v>
      </x:c>
      <x:c r="N31" s="269" t="n">
        <x:f>(L31/L30-1)*100</x:f>
        <x:v>-0.2118236087040204</x:v>
      </x:c>
    </x:row>
    <x:row r="32" s="43" customFormat="1" ht="15" customHeight="1">
      <x:c r="A32" s="60" t="n">
        <x:v>45108</x:v>
      </x:c>
      <x:c r="B32" s="61" t="n">
        <x:v>0.12</x:v>
      </x:c>
      <x:c r="C32" s="61" t="n">
        <x:v>3.99</x:v>
      </x:c>
      <x:c r="D32" s="61" t="n"/>
      <x:c r="E32" s="268" t="str">
        <x:f>IF(COUNT(D21:D32)=12,(PRODUCT((D21/100+1),(D22/100+1),(D23/100+1),(D24/100+1),(D25/100+1),(D26/100+1),(D27/100+1),(D28/100+1),(D29/100+1),(D30/100+1),(D31/100+1),(D32/100+1))-1)*100,"")</x:f>
      </x:c>
      <x:c r="F32" s="61" t="n">
        <x:v>3.25</x:v>
      </x:c>
      <x:c r="G32" s="61" t="n">
        <x:v>13.75</x:v>
      </x:c>
      <x:c r="H32" s="61" t="n">
        <x:v>13.75</x:v>
      </x:c>
      <x:c r="I32" s="61" t="n">
        <x:v>102.90097</x:v>
      </x:c>
      <x:c r="J32" s="61" t="n">
        <x:v>105.34474</x:v>
      </x:c>
      <x:c r="K32" s="61" t="n">
        <x:f>(I32/I31-1)*100</x:f>
        <x:v>0.5013887910851667</x:v>
      </x:c>
      <x:c r="L32" s="268" t="n">
        <x:v>108.71</x:v>
      </x:c>
      <x:c r="M32" s="268" t="n">
        <x:v>131.79</x:v>
      </x:c>
      <x:c r="N32" s="268" t="n">
        <x:f>(L32/L31-1)*100</x:f>
        <x:v>4.89193361636433</x:v>
      </x:c>
    </x:row>
    <x:row r="33" s="43" customFormat="1" ht="15" customHeight="1">
      <x:c r="A33" s="62" t="n">
        <x:v>45139</x:v>
      </x:c>
      <x:c r="B33" s="63" t="n">
        <x:v>0.23</x:v>
      </x:c>
      <x:c r="C33" s="63" t="n">
        <x:v>4.61</x:v>
      </x:c>
      <x:c r="D33" s="63" t="n"/>
      <x:c r="E33" s="269" t="str">
        <x:f>IF(COUNT(D22:D33)=12,(PRODUCT((D22/100+1),(D23/100+1),(D24/100+1),(D25/100+1),(D26/100+1),(D27/100+1),(D28/100+1),(D29/100+1),(D30/100+1),(D31/100+1),(D32/100+1),(D33/100+1))-1)*100,"")</x:f>
      </x:c>
      <x:c r="F33" s="63" t="n">
        <x:v>3.25</x:v>
      </x:c>
      <x:c r="G33" s="63" t="n">
        <x:v>13.25</x:v>
      </x:c>
      <x:c r="H33" s="63" t="n">
        <x:v>13.2822580645161</x:v>
      </x:c>
      <x:c r="I33" s="63" t="n">
        <x:v>102.49883</x:v>
      </x:c>
      <x:c r="J33" s="63" t="n">
        <x:v>106.05687</x:v>
      </x:c>
      <x:c r="K33" s="63" t="n">
        <x:f>(I33/I32-1)*100</x:f>
        <x:v>-0.3908029244039213</x:v>
      </x:c>
      <x:c r="L33" s="269" t="n">
        <x:v>105.59</x:v>
      </x:c>
      <x:c r="M33" s="269" t="n">
        <x:v>112.11</x:v>
      </x:c>
      <x:c r="N33" s="269" t="n">
        <x:f>(L33/L32-1)*100</x:f>
        <x:v>-2.8700211572072365</x:v>
      </x:c>
    </x:row>
    <x:row r="34" s="43" customFormat="1" ht="15" customHeight="1">
      <x:c r="A34" s="60" t="n">
        <x:v>45170</x:v>
      </x:c>
      <x:c r="B34" s="61" t="n">
        <x:v>0.26</x:v>
      </x:c>
      <x:c r="C34" s="61" t="n">
        <x:v>5.19</x:v>
      </x:c>
      <x:c r="D34" s="61" t="n"/>
      <x:c r="E34" s="268" t="str">
        <x:f>IF(COUNT(D23:D34)=12,(PRODUCT((D23/100+1),(D24/100+1),(D25/100+1),(D26/100+1),(D27/100+1),(D28/100+1),(D29/100+1),(D30/100+1),(D31/100+1),(D32/100+1),(D33/100+1),(D34/100+1))-1)*100,"")</x:f>
      </x:c>
      <x:c r="F34" s="61" t="n">
        <x:v>3.25</x:v>
      </x:c>
      <x:c r="G34" s="61" t="n">
        <x:v>12.75</x:v>
      </x:c>
      <x:c r="H34" s="61" t="n">
        <x:v>13.0833333333333</x:v>
      </x:c>
      <x:c r="I34" s="61" t="n">
        <x:v>102.5197</x:v>
      </x:c>
      <x:c r="J34" s="61" t="n">
        <x:v>101.75897</x:v>
      </x:c>
      <x:c r="K34" s="61" t="n">
        <x:f>(I34/I33-1)*100</x:f>
        <x:v>0.020361208025487798</x:v>
      </x:c>
      <x:c r="L34" s="268" t="n">
        <x:v>103.72</x:v>
      </x:c>
      <x:c r="M34" s="268" t="n">
        <x:v>97.12</x:v>
      </x:c>
      <x:c r="N34" s="268" t="n">
        <x:f>(L34/L33-1)*100</x:f>
        <x:v>-1.7710010417653188</x:v>
      </x:c>
    </x:row>
    <x:row r="35" s="43" customFormat="1" ht="15" customHeight="1">
      <x:c r="A35" s="62" t="n">
        <x:v>45200</x:v>
      </x:c>
      <x:c r="B35" s="63" t="n">
        <x:v>0.24</x:v>
      </x:c>
      <x:c r="C35" s="63" t="n">
        <x:v>4.82</x:v>
      </x:c>
      <x:c r="D35" s="63" t="n"/>
      <x:c r="E35" s="269" t="str">
        <x:f>IF(COUNT(D24:D35)=12,(PRODUCT((D24/100+1),(D25/100+1),(D26/100+1),(D27/100+1),(D28/100+1),(D29/100+1),(D30/100+1),(D31/100+1),(D32/100+1),(D33/100+1),(D34/100+1),(D35/100+1))-1)*100,"")</x:f>
      </x:c>
      <x:c r="F35" s="63" t="n">
        <x:v>3.25</x:v>
      </x:c>
      <x:c r="G35" s="63" t="n">
        <x:v>12.75</x:v>
      </x:c>
      <x:c r="H35" s="63" t="n">
        <x:v>12.75</x:v>
      </x:c>
      <x:c r="I35" s="63" t="n">
        <x:v>102.8499</x:v>
      </x:c>
      <x:c r="J35" s="63" t="n">
        <x:v>101.9338</x:v>
      </x:c>
      <x:c r="K35" s="63" t="n">
        <x:f>(I35/I34-1)*100</x:f>
        <x:v>0.32208443840551215</x:v>
      </x:c>
      <x:c r="L35" s="269" t="n">
        <x:v>104.2</x:v>
      </x:c>
      <x:c r="M35" s="269" t="n">
        <x:v>94.93</x:v>
      </x:c>
      <x:c r="N35" s="269" t="n">
        <x:f>(L35/L34-1)*100</x:f>
        <x:v>0.4627844195912001</x:v>
      </x:c>
    </x:row>
    <x:row r="36" s="43" customFormat="1" ht="15" customHeight="1">
      <x:c r="A36" s="60" t="n">
        <x:v>45231</x:v>
      </x:c>
      <x:c r="B36" s="61" t="n">
        <x:v>0.28</x:v>
      </x:c>
      <x:c r="C36" s="61" t="n">
        <x:v>4.68</x:v>
      </x:c>
      <x:c r="D36" s="61" t="n"/>
      <x:c r="E36" s="268" t="str">
        <x:f>IF(COUNT(D25:D36)=12,(PRODUCT((D25/100+1),(D26/100+1),(D27/100+1),(D28/100+1),(D29/100+1),(D30/100+1),(D31/100+1),(D32/100+1),(D33/100+1),(D34/100+1),(D35/100+1),(D36/100+1))-1)*100,"")</x:f>
      </x:c>
      <x:c r="F36" s="61" t="n">
        <x:v>3.25</x:v>
      </x:c>
      <x:c r="G36" s="61" t="n">
        <x:v>12.25</x:v>
      </x:c>
      <x:c r="H36" s="61" t="n">
        <x:v>12.2666666666667</x:v>
      </x:c>
      <x:c r="I36" s="61" t="n">
        <x:v>103.60561</x:v>
      </x:c>
      <x:c r="J36" s="61" t="n">
        <x:v>101.68042</x:v>
      </x:c>
      <x:c r="K36" s="61" t="n">
        <x:f>(I36/I35-1)*100</x:f>
        <x:v>0.7347697955953247</x:v>
      </x:c>
      <x:c r="L36" s="268" t="n">
        <x:v>106.41</x:v>
      </x:c>
      <x:c r="M36" s="268" t="n">
        <x:v>90.95</x:v>
      </x:c>
      <x:c r="N36" s="268" t="n">
        <x:f>(L36/L35-1)*100</x:f>
        <x:v>2.120921305182333</x:v>
      </x:c>
    </x:row>
    <x:row r="37" s="43" customFormat="1" ht="15" customHeight="1">
      <x:c r="A37" s="62" t="n">
        <x:v>45261</x:v>
      </x:c>
      <x:c r="B37" s="63" t="n">
        <x:v>0.5600000000000001</x:v>
      </x:c>
      <x:c r="C37" s="63" t="n">
        <x:v>4.62</x:v>
      </x:c>
      <x:c r="D37" s="63" t="n"/>
      <x:c r="E37" s="269" t="str">
        <x:f>IF(COUNT(D26:D37)=12,(PRODUCT((D26/100+1),(D27/100+1),(D28/100+1),(D29/100+1),(D30/100+1),(D31/100+1),(D32/100+1),(D33/100+1),(D34/100+1),(D35/100+1),(D36/100+1),(D37/100+1))-1)*100,"")</x:f>
      </x:c>
      <x:c r="F37" s="63" t="n">
        <x:v>3.25</x:v>
      </x:c>
      <x:c r="G37" s="63" t="n">
        <x:v>11.75</x:v>
      </x:c>
      <x:c r="H37" s="63" t="n">
        <x:v>11.9596774193548</x:v>
      </x:c>
      <x:c r="I37" s="63" t="n">
        <x:v>104.8968</x:v>
      </x:c>
      <x:c r="J37" s="63" t="n">
        <x:v>101.68469</x:v>
      </x:c>
      <x:c r="K37" s="63" t="n">
        <x:f>(I37/I36-1)*100</x:f>
        <x:v>1.2462549083973373</x:v>
      </x:c>
      <x:c r="L37" s="269" t="n">
        <x:v>106.88</x:v>
      </x:c>
      <x:c r="M37" s="269" t="n">
        <x:v>90.55</x:v>
      </x:c>
      <x:c r="N37" s="269" t="n">
        <x:f>(L37/L36-1)*100</x:f>
        <x:v>0.44168781129592105</x:v>
      </x:c>
    </x:row>
    <x:row r="38" s="43" customFormat="1" ht="15" customHeight="1">
      <x:c r="A38" s="60" t="n">
        <x:v>45292</x:v>
      </x:c>
      <x:c r="B38" s="61" t="n">
        <x:v>0.42</x:v>
      </x:c>
      <x:c r="C38" s="61" t="n">
        <x:v>4.51</x:v>
      </x:c>
      <x:c r="D38" s="61" t="n"/>
      <x:c r="E38" s="268" t="str">
        <x:f>IF(COUNT(D27:D38)=12,(PRODUCT((D27/100+1),(D28/100+1),(D29/100+1),(D30/100+1),(D31/100+1),(D32/100+1),(D33/100+1),(D34/100+1),(D35/100+1),(D36/100+1),(D37/100+1),(D38/100+1))-1)*100,"")</x:f>
      </x:c>
      <x:c r="F38" s="61" t="n">
        <x:v>3</x:v>
      </x:c>
      <x:c r="G38" s="61" t="n">
        <x:v>11.75</x:v>
      </x:c>
      <x:c r="H38" s="61" t="n">
        <x:v>11.75</x:v>
      </x:c>
      <x:c r="I38" s="61" t="n">
        <x:v>104.46088</x:v>
      </x:c>
      <x:c r="J38" s="61" t="n">
        <x:v>99.29718</x:v>
      </x:c>
      <x:c r="K38" s="61" t="n">
        <x:f>(I38/I37-1)*100</x:f>
        <x:v>-0.4155703510497877</x:v>
      </x:c>
      <x:c r="L38" s="268" t="n">
        <x:v>110.93</x:v>
      </x:c>
      <x:c r="M38" s="268" t="n">
        <x:v>98.74</x:v>
      </x:c>
      <x:c r="N38" s="268" t="n">
        <x:f>(L38/L37-1)*100</x:f>
        <x:v>3.7892964071856383</x:v>
      </x:c>
    </x:row>
    <x:row r="39" s="43" customFormat="1" ht="15" customHeight="1">
      <x:c r="A39" s="62" t="n">
        <x:v>45323</x:v>
      </x:c>
      <x:c r="B39" s="63" t="n">
        <x:v>0.83</x:v>
      </x:c>
      <x:c r="C39" s="63" t="n">
        <x:v>4.5</x:v>
      </x:c>
      <x:c r="D39" s="63" t="n"/>
      <x:c r="E39" s="269" t="str">
        <x:f>IF(COUNT(D28:D39)=12,(PRODUCT((D28/100+1),(D29/100+1),(D30/100+1),(D31/100+1),(D32/100+1),(D33/100+1),(D34/100+1),(D35/100+1),(D36/100+1),(D37/100+1),(D38/100+1),(D39/100+1))-1)*100,"")</x:f>
      </x:c>
      <x:c r="F39" s="63" t="n">
        <x:v>3</x:v>
      </x:c>
      <x:c r="G39" s="63" t="n">
        <x:v>11.25</x:v>
      </x:c>
      <x:c r="H39" s="63" t="n">
        <x:v>11.25</x:v>
      </x:c>
      <x:c r="I39" s="63" t="n">
        <x:v>104.65783</x:v>
      </x:c>
      <x:c r="J39" s="63" t="n">
        <x:v>102.15036</x:v>
      </x:c>
      <x:c r="K39" s="63" t="n">
        <x:f>(I39/I38-1)*100</x:f>
        <x:v>0.18853948004267096</x:v>
      </x:c>
      <x:c r="L39" s="269" t="n">
        <x:v>110.52</x:v>
      </x:c>
      <x:c r="M39" s="269" t="n">
        <x:v>115.08</x:v>
      </x:c>
      <x:c r="N39" s="269" t="n">
        <x:f>(L39/L38-1)*100</x:f>
        <x:v>-0.36960245199676445</x:v>
      </x:c>
    </x:row>
    <x:row r="40" s="43" customFormat="1" ht="15" customHeight="1">
      <x:c r="A40" s="60" t="n">
        <x:v>45352</x:v>
      </x:c>
      <x:c r="B40" s="61" t="n">
        <x:v>0.16</x:v>
      </x:c>
      <x:c r="C40" s="61" t="n">
        <x:v>3.93</x:v>
      </x:c>
      <x:c r="D40" s="61" t="n"/>
      <x:c r="E40" s="268" t="str">
        <x:f>IF(COUNT(D29:D40)=12,(PRODUCT((D29/100+1),(D30/100+1),(D31/100+1),(D32/100+1),(D33/100+1),(D34/100+1),(D35/100+1),(D36/100+1),(D37/100+1),(D38/100+1),(D39/100+1),(D40/100+1))-1)*100,"")</x:f>
      </x:c>
      <x:c r="F40" s="61" t="n">
        <x:v>3</x:v>
      </x:c>
      <x:c r="G40" s="61" t="n">
        <x:v>10.75</x:v>
      </x:c>
      <x:c r="H40" s="61" t="n">
        <x:v>11.0725806451613</x:v>
      </x:c>
      <x:c r="I40" s="61" t="n">
        <x:v>104.68489</x:v>
      </x:c>
      <x:c r="J40" s="61" t="n">
        <x:v>109.56901</x:v>
      </x:c>
      <x:c r="K40" s="61" t="n">
        <x:f>(I40/I39-1)*100</x:f>
        <x:v>0.025855686096298847</x:v>
      </x:c>
      <x:c r="L40" s="268" t="n">
        <x:v>110.5</x:v>
      </x:c>
      <x:c r="M40" s="268" t="n">
        <x:v>128.2</x:v>
      </x:c>
      <x:c r="N40" s="268" t="n">
        <x:f>(L40/L39-1)*100</x:f>
        <x:v>-0.018096272167933414</x:v>
      </x:c>
    </x:row>
    <x:row r="41" s="43" customFormat="1" ht="15" customHeight="1">
      <x:c r="A41" s="62" t="n">
        <x:v>45383</x:v>
      </x:c>
      <x:c r="B41" s="63" t="n">
        <x:v>0.38</x:v>
      </x:c>
      <x:c r="C41" s="63" t="n">
        <x:v>3.69</x:v>
      </x:c>
      <x:c r="D41" s="63" t="n"/>
      <x:c r="E41" s="269" t="str">
        <x:f>IF(COUNT(D30:D41)=12,(PRODUCT((D30/100+1),(D31/100+1),(D32/100+1),(D33/100+1),(D34/100+1),(D35/100+1),(D36/100+1),(D37/100+1),(D38/100+1),(D39/100+1),(D40/100+1),(D41/100+1))-1)*100,"")</x:f>
      </x:c>
      <x:c r="F41" s="63" t="n">
        <x:v>3</x:v>
      </x:c>
      <x:c r="G41" s="63" t="n">
        <x:v>10.75</x:v>
      </x:c>
      <x:c r="H41" s="63" t="n">
        <x:v>10.75</x:v>
      </x:c>
      <x:c r="I41" s="63" t="n">
        <x:v>104.62189</x:v>
      </x:c>
      <x:c r="J41" s="63" t="n">
        <x:v>109.2572</x:v>
      </x:c>
      <x:c r="K41" s="63" t="n">
        <x:f>(I41/I40-1)*100</x:f>
        <x:v>-0.06018060486093768</x:v>
      </x:c>
      <x:c r="L41" s="269" t="n">
        <x:v>109.72</x:v>
      </x:c>
      <x:c r="M41" s="269" t="n">
        <x:v>129.06</x:v>
      </x:c>
      <x:c r="N41" s="269" t="n">
        <x:f>(L41/L40-1)*100</x:f>
        <x:v>-0.7058823529411784</x:v>
      </x:c>
    </x:row>
    <x:row r="42" s="43" customFormat="1" ht="15" customHeight="1">
      <x:c r="A42" s="60" t="n">
        <x:v>45413</x:v>
      </x:c>
      <x:c r="B42" s="61" t="n">
        <x:v>0.46</x:v>
      </x:c>
      <x:c r="C42" s="61" t="n">
        <x:v>3.93</x:v>
      </x:c>
      <x:c r="D42" s="61" t="n"/>
      <x:c r="E42" s="268" t="str">
        <x:f>IF(COUNT(D31:D42)=12,(PRODUCT((D31/100+1),(D32/100+1),(D33/100+1),(D34/100+1),(D35/100+1),(D36/100+1),(D37/100+1),(D38/100+1),(D39/100+1),(D40/100+1),(D41/100+1),(D42/100+1))-1)*100,"")</x:f>
      </x:c>
      <x:c r="F42" s="61" t="n">
        <x:v>3</x:v>
      </x:c>
      <x:c r="G42" s="61" t="n">
        <x:v>10.5</x:v>
      </x:c>
      <x:c r="H42" s="61" t="n">
        <x:v>10.5645161290323</x:v>
      </x:c>
      <x:c r="I42" s="61" t="n">
        <x:v>105.5883</x:v>
      </x:c>
      <x:c r="J42" s="61" t="n">
        <x:v>104.71213</x:v>
      </x:c>
      <x:c r="K42" s="61" t="n">
        <x:f>(I42/I41-1)*100</x:f>
        <x:v>0.9237168244618843</x:v>
      </x:c>
      <x:c r="L42" s="268" t="n">
        <x:v>109.97</x:v>
      </x:c>
      <x:c r="M42" s="268" t="n">
        <x:v>106.24</x:v>
      </x:c>
      <x:c r="N42" s="268" t="n">
        <x:f>(L42/L41-1)*100</x:f>
        <x:v>0.22785271600438417</x:v>
      </x:c>
    </x:row>
    <x:row r="43" s="43" customFormat="1" ht="15" customHeight="1">
      <x:c r="A43" s="62" t="n">
        <x:v>45444</x:v>
      </x:c>
      <x:c r="B43" s="63" t="n">
        <x:v>0.21</x:v>
      </x:c>
      <x:c r="C43" s="63" t="n">
        <x:v>4.23</x:v>
      </x:c>
      <x:c r="D43" s="63" t="n"/>
      <x:c r="E43" s="269" t="str">
        <x:f>IF(COUNT(D32:D43)=12,(PRODUCT((D32/100+1),(D33/100+1),(D34/100+1),(D35/100+1),(D36/100+1),(D37/100+1),(D38/100+1),(D39/100+1),(D40/100+1),(D41/100+1),(D42/100+1),(D43/100+1))-1)*100,"")</x:f>
      </x:c>
      <x:c r="F43" s="63" t="n">
        <x:v>3</x:v>
      </x:c>
      <x:c r="G43" s="63" t="n">
        <x:v>10.5</x:v>
      </x:c>
      <x:c r="H43" s="63" t="n">
        <x:v>10.5</x:v>
      </x:c>
      <x:c r="I43" s="63" t="n">
        <x:v>106.56647</x:v>
      </x:c>
      <x:c r="J43" s="63" t="n">
        <x:v>105.86915</x:v>
      </x:c>
      <x:c r="K43" s="63" t="n">
        <x:f>(I43/I42-1)*100</x:f>
        <x:v>0.9263999893927455</x:v>
      </x:c>
      <x:c r="L43" s="269" t="n">
        <x:v>108.62</x:v>
      </x:c>
      <x:c r="M43" s="269" t="n">
        <x:v>102.33</x:v>
      </x:c>
      <x:c r="N43" s="269" t="n">
        <x:f>(L43/L42-1)*100</x:f>
        <x:v>-1.2276075293261801</x:v>
      </x:c>
    </x:row>
    <x:row r="44" s="43" customFormat="1" ht="15" customHeight="1">
      <x:c r="A44" s="60" t="n">
        <x:v>45474</x:v>
      </x:c>
      <x:c r="B44" s="61" t="n">
        <x:v>0.38</x:v>
      </x:c>
      <x:c r="C44" s="61" t="n">
        <x:v>4.5</x:v>
      </x:c>
      <x:c r="D44" s="61" t="n"/>
      <x:c r="E44" s="268" t="str">
        <x:f>IF(COUNT(D33:D44)=12,(PRODUCT((D33/100+1),(D34/100+1),(D35/100+1),(D36/100+1),(D37/100+1),(D38/100+1),(D39/100+1),(D40/100+1),(D41/100+1),(D42/100+1),(D43/100+1),(D44/100+1))-1)*100,"")</x:f>
      </x:c>
      <x:c r="F44" s="61" t="n">
        <x:v>3</x:v>
      </x:c>
      <x:c r="G44" s="61" t="n">
        <x:v>10.5</x:v>
      </x:c>
      <x:c r="H44" s="61" t="n">
        <x:v>10.5</x:v>
      </x:c>
      <x:c r="I44" s="61" t="n">
        <x:v>107.07017</x:v>
      </x:c>
      <x:c r="J44" s="61" t="n">
        <x:v>111.509</x:v>
      </x:c>
      <x:c r="K44" s="61" t="n">
        <x:f>(I44/I43-1)*100</x:f>
        <x:v>0.4726627427933172</x:v>
      </x:c>
      <x:c r="L44" s="268" t="n">
        <x:v>106.29</x:v>
      </x:c>
      <x:c r="M44" s="268" t="n">
        <x:v>130.44</x:v>
      </x:c>
      <x:c r="N44" s="268" t="n">
        <x:f>(L44/L43-1)*100</x:f>
        <x:v>-2.145092984717356</x:v>
      </x:c>
    </x:row>
    <x:row r="45" s="43" customFormat="1" ht="15" customHeight="1">
      <x:c r="A45" s="62" t="n">
        <x:v>45505</x:v>
      </x:c>
      <x:c r="B45" s="63" t="n">
        <x:v>-0.02</x:v>
      </x:c>
      <x:c r="C45" s="63" t="n">
        <x:v>4.24</x:v>
      </x:c>
      <x:c r="D45" s="63" t="n"/>
      <x:c r="E45" s="269" t="str">
        <x:f>IF(COUNT(D34:D45)=12,(PRODUCT((D34/100+1),(D35/100+1),(D36/100+1),(D37/100+1),(D38/100+1),(D39/100+1),(D40/100+1),(D41/100+1),(D42/100+1),(D43/100+1),(D44/100+1),(D45/100+1))-1)*100,"")</x:f>
      </x:c>
      <x:c r="F45" s="63" t="n">
        <x:v>3</x:v>
      </x:c>
      <x:c r="G45" s="63" t="n">
        <x:v>10.5</x:v>
      </x:c>
      <x:c r="H45" s="63" t="n">
        <x:v>10.5</x:v>
      </x:c>
      <x:c r="I45" s="63" t="n">
        <x:v>107.19578</x:v>
      </x:c>
      <x:c r="J45" s="63" t="n">
        <x:v>110.06254</x:v>
      </x:c>
      <x:c r="K45" s="63" t="n">
        <x:f>(I45/I44-1)*100</x:f>
        <x:v>0.11731558845942125</x:v>
      </x:c>
      <x:c r="L45" s="269" t="n">
        <x:v>107.85</x:v>
      </x:c>
      <x:c r="M45" s="269" t="n">
        <x:v>113.67</x:v>
      </x:c>
      <x:c r="N45" s="269" t="n">
        <x:f>(L45/L44-1)*100</x:f>
        <x:v>1.4676827547276172</x:v>
      </x:c>
    </x:row>
    <x:row r="46" s="43" customFormat="1" ht="15" customHeight="1">
      <x:c r="A46" s="60" t="n">
        <x:v>45536</x:v>
      </x:c>
      <x:c r="B46" s="61" t="n">
        <x:v>0.44</x:v>
      </x:c>
      <x:c r="C46" s="61" t="n">
        <x:v>4.42</x:v>
      </x:c>
      <x:c r="D46" s="61" t="n"/>
      <x:c r="E46" s="268" t="str">
        <x:f>IF(COUNT(D35:D46)=12,(PRODUCT((D35/100+1),(D36/100+1),(D37/100+1),(D38/100+1),(D39/100+1),(D40/100+1),(D41/100+1),(D42/100+1),(D43/100+1),(D44/100+1),(D45/100+1),(D46/100+1))-1)*100,"")</x:f>
      </x:c>
      <x:c r="F46" s="61" t="n">
        <x:v>3</x:v>
      </x:c>
      <x:c r="G46" s="61" t="n">
        <x:v>10.75</x:v>
      </x:c>
      <x:c r="H46" s="61" t="n">
        <x:v>10.6</x:v>
      </x:c>
      <x:c r="I46" s="61" t="n">
        <x:v>108.05141</x:v>
      </x:c>
      <x:c r="J46" s="61" t="n">
        <x:v>107.07852</x:v>
      </x:c>
      <x:c r="K46" s="61" t="n">
        <x:f>(I46/I45-1)*100</x:f>
        <x:v>0.7981937348653156</x:v>
      </x:c>
      <x:c r="L46" s="268" t="n">
        <x:v>110.68</x:v>
      </x:c>
      <x:c r="M46" s="268" t="n">
        <x:v>102.72</x:v>
      </x:c>
      <x:c r="N46" s="268" t="n">
        <x:f>(L46/L45-1)*100</x:f>
        <x:v>2.624014835419586</x:v>
      </x:c>
    </x:row>
    <x:row r="47" s="43" customFormat="1" ht="15" customHeight="1">
      <x:c r="A47" s="62" t="n">
        <x:v>45566</x:v>
      </x:c>
      <x:c r="B47" s="63" t="n">
        <x:v>0.5600000000000001</x:v>
      </x:c>
      <x:c r="C47" s="63" t="n">
        <x:v>4.76</x:v>
      </x:c>
      <x:c r="D47" s="63" t="n"/>
      <x:c r="E47" s="269" t="str">
        <x:f>IF(COUNT(D36:D47)=12,(PRODUCT((D36/100+1),(D37/100+1),(D38/100+1),(D39/100+1),(D40/100+1),(D41/100+1),(D42/100+1),(D43/100+1),(D44/100+1),(D45/100+1),(D46/100+1),(D47/100+1))-1)*100,"")</x:f>
      </x:c>
      <x:c r="F47" s="63" t="n">
        <x:v>3</x:v>
      </x:c>
      <x:c r="G47" s="63" t="n">
        <x:v>10.75</x:v>
      </x:c>
      <x:c r="H47" s="63" t="n">
        <x:v>10.75</x:v>
      </x:c>
      <x:c r="I47" s="63" t="n">
        <x:v>108.26621</x:v>
      </x:c>
      <x:c r="J47" s="63" t="n">
        <x:v>109.18379</x:v>
      </x:c>
      <x:c r="K47" s="63" t="n">
        <x:f>(I47/I46-1)*100</x:f>
        <x:v>0.19879425914015592</x:v>
      </x:c>
      <x:c r="L47" s="269" t="n">
        <x:v>109.69</x:v>
      </x:c>
      <x:c r="M47" s="269" t="n">
        <x:v>101.11</x:v>
      </x:c>
      <x:c r="N47" s="269" t="n">
        <x:f>(L47/L46-1)*100</x:f>
        <x:v>-0.8944705457173963</x:v>
      </x:c>
    </x:row>
    <x:row r="48" s="43" customFormat="1" ht="15" customHeight="1">
      <x:c r="A48" s="60" t="n">
        <x:v>45597</x:v>
      </x:c>
      <x:c r="B48" s="61" t="n">
        <x:v>0.39</x:v>
      </x:c>
      <x:c r="C48" s="61" t="n">
        <x:v>4.87</x:v>
      </x:c>
      <x:c r="D48" s="61" t="n"/>
      <x:c r="E48" s="268" t="str">
        <x:f>IF(COUNT(D37:D48)=12,(PRODUCT((D37/100+1),(D38/100+1),(D39/100+1),(D40/100+1),(D41/100+1),(D42/100+1),(D43/100+1),(D44/100+1),(D45/100+1),(D46/100+1),(D47/100+1),(D48/100+1))-1)*100,"")</x:f>
      </x:c>
      <x:c r="F48" s="61" t="n">
        <x:v>3</x:v>
      </x:c>
      <x:c r="G48" s="61" t="n">
        <x:v>11.25</x:v>
      </x:c>
      <x:c r="H48" s="61" t="n">
        <x:v>11.15</x:v>
      </x:c>
      <x:c r="I48" s="61" t="n">
        <x:v>108.02232</x:v>
      </x:c>
      <x:c r="J48" s="61" t="n">
        <x:v>105.49006</x:v>
      </x:c>
      <x:c r="K48" s="61" t="n">
        <x:f>(I48/I47-1)*100</x:f>
        <x:v>-0.22526880732225418</x:v>
      </x:c>
      <x:c r="L48" s="268" t="n">
        <x:v>111.9</x:v>
      </x:c>
      <x:c r="M48" s="268" t="n">
        <x:v>95.07</x:v>
      </x:c>
      <x:c r="N48" s="268" t="n">
        <x:f>(L48/L47-1)*100</x:f>
        <x:v>2.0147688941562603</x:v>
      </x:c>
    </x:row>
    <x:row r="49" s="43" customFormat="1" ht="15" customHeight="1">
      <x:c r="A49" s="62" t="n">
        <x:v>45627</x:v>
      </x:c>
      <x:c r="B49" s="63" t="n">
        <x:v>0.52</x:v>
      </x:c>
      <x:c r="C49" s="63" t="n">
        <x:v>4.83</x:v>
      </x:c>
      <x:c r="D49" s="63" t="n"/>
      <x:c r="E49" s="269" t="str">
        <x:f>IF(COUNT(D38:D49)=12,(PRODUCT((D38/100+1),(D39/100+1),(D40/100+1),(D41/100+1),(D42/100+1),(D43/100+1),(D44/100+1),(D45/100+1),(D46/100+1),(D47/100+1),(D48/100+1),(D49/100+1))-1)*100,"")</x:f>
      </x:c>
      <x:c r="F49" s="63" t="n">
        <x:v>3</x:v>
      </x:c>
      <x:c r="G49" s="63" t="n">
        <x:v>12.25</x:v>
      </x:c>
      <x:c r="H49" s="63" t="n">
        <x:v>11.8951612903226</x:v>
      </x:c>
      <x:c r="I49" s="63" t="n">
        <x:v>107.37891</x:v>
      </x:c>
      <x:c r="J49" s="63" t="n">
        <x:v>104.15552</x:v>
      </x:c>
      <x:c r="K49" s="63" t="n">
        <x:f>(I49/I48-1)*100</x:f>
        <x:v>-0.5956269037732054</x:v>
      </x:c>
      <x:c r="L49" s="269" t="n">
        <x:v>111.85</x:v>
      </x:c>
      <x:c r="M49" s="269" t="n">
        <x:v>94.06</x:v>
      </x:c>
      <x:c r="N49" s="269" t="n">
        <x:f>(L49/L48-1)*100</x:f>
        <x:v>-0.044682752457558816</x:v>
      </x:c>
    </x:row>
    <x:row r="50" s="43" customFormat="1" ht="15" customHeight="1">
      <x:c r="A50" s="60" t="n">
        <x:v>45658</x:v>
      </x:c>
      <x:c r="B50" s="61" t="n">
        <x:v>0.16</x:v>
      </x:c>
      <x:c r="C50" s="61" t="n">
        <x:f>((1+B39/100)*(1+B40/100)*(1+B41/100)*(1+B42/100)*(1+B43/100)*(1+B44/100)*(1+B45/100)*(1+B46/100)*(1+B47/100)*(1+B48/100)*(1+B49/100)*(1+B50/100)-1)*100</x:f>
        <x:v>4.559874392677332</x:v>
      </x:c>
      <x:c r="D50" s="61" t="n"/>
      <x:c r="E50" s="268" t="str">
        <x:f>IF(COUNT(D39:D50)=12,(PRODUCT((D39/100+1),(D40/100+1),(D41/100+1),(D42/100+1),(D43/100+1),(D44/100+1),(D45/100+1),(D46/100+1),(D47/100+1),(D48/100+1),(D49/100+1),(D50/100+1))-1)*100,"")</x:f>
      </x:c>
      <x:c r="F50" s="61" t="n">
        <x:v>3</x:v>
      </x:c>
      <x:c r="G50" s="61" t="n">
        <x:v>13.25</x:v>
      </x:c>
      <x:c r="H50" s="61" t="n">
        <x:v>12.3145161290323</x:v>
      </x:c>
      <x:c r="I50" s="61" t="n">
        <x:v>108.05509</x:v>
      </x:c>
      <x:c r="J50" s="61" t="n">
        <x:v>102.62949</x:v>
      </x:c>
      <x:c r="K50" s="61" t="n">
        <x:f>(I50/I49-1)*100</x:f>
        <x:v>0.6297139726972434</x:v>
      </x:c>
      <x:c r="L50" s="268" t="n">
        <x:v>112.99</x:v>
      </x:c>
      <x:c r="M50" s="268" t="n">
        <x:v>101.02</x:v>
      </x:c>
      <x:c r="N50" s="268" t="n">
        <x:f>(L50/L49-1)*100</x:f>
        <x:v>1.0192221725525252</x:v>
      </x:c>
    </x:row>
    <x:row r="51" s="43" customFormat="1" ht="15" customHeight="1">
      <x:c r="A51" s="62" t="n">
        <x:v>45689</x:v>
      </x:c>
      <x:c r="B51" s="63" t="n">
        <x:v>1.31</x:v>
      </x:c>
      <x:c r="C51" s="63" t="n">
        <x:f>((1+B40/100)*(1+B41/100)*(1+B42/100)*(1+B43/100)*(1+B44/100)*(1+B45/100)*(1+B46/100)*(1+B47/100)*(1+B48/100)*(1+B49/100)*(1+B50/100)*(1+B51/100)-1)*100</x:f>
        <x:v>5.057630414778758</x:v>
      </x:c>
      <x:c r="D51" s="63" t="n"/>
      <x:c r="E51" s="269" t="str">
        <x:f>IF(COUNT(D40:D51)=12,(PRODUCT((D40/100+1),(D41/100+1),(D42/100+1),(D43/100+1),(D44/100+1),(D45/100+1),(D46/100+1),(D47/100+1),(D48/100+1),(D49/100+1),(D50/100+1),(D51/100+1))-1)*100,"")</x:f>
      </x:c>
      <x:c r="F51" s="63" t="n">
        <x:v>3</x:v>
      </x:c>
      <x:c r="G51" s="63" t="n">
        <x:v>13.25</x:v>
      </x:c>
      <x:c r="H51" s="63" t="n">
        <x:v>13.25</x:v>
      </x:c>
      <x:c r="I51" s="63" t="n">
        <x:v>108.57481</x:v>
      </x:c>
      <x:c r="J51" s="63" t="n">
        <x:v>106.82599</x:v>
      </x:c>
      <x:c r="K51" s="63" t="n">
        <x:f>(I51/I50-1)*100</x:f>
        <x:v>0.4809768794787894</x:v>
      </x:c>
      <x:c r="L51" s="269" t="n">
        <x:v>114.2</x:v>
      </x:c>
      <x:c r="M51" s="269" t="n">
        <x:v>119.78</x:v>
      </x:c>
      <x:c r="N51" s="269" t="n">
        <x:f>(L51/L50-1)*100</x:f>
        <x:v>1.070891229312343</x:v>
      </x:c>
    </x:row>
    <x:row r="52" s="43" customFormat="1" ht="15" customHeight="1">
      <x:c r="A52" s="60" t="n">
        <x:v>45717</x:v>
      </x:c>
      <x:c r="B52" s="61" t="n">
        <x:v>0.5600000000000001</x:v>
      </x:c>
      <x:c r="C52" s="61" t="n">
        <x:f>((1+B41/100)*(1+B42/100)*(1+B43/100)*(1+B44/100)*(1+B45/100)*(1+B46/100)*(1+B47/100)*(1+B48/100)*(1+B49/100)*(1+B50/100)*(1+B51/100)*(1+B52/100)-1)*100</x:f>
        <x:v>5.477189641674851</x:v>
      </x:c>
      <x:c r="D52" s="61" t="n"/>
      <x:c r="E52" s="268" t="str">
        <x:f>IF(COUNT(D41:D52)=12,(PRODUCT((D41/100+1),(D42/100+1),(D43/100+1),(D44/100+1),(D45/100+1),(D46/100+1),(D47/100+1),(D48/100+1),(D49/100+1),(D50/100+1),(D51/100+1),(D52/100+1))-1)*100,"")</x:f>
      </x:c>
      <x:c r="F52" s="61" t="n">
        <x:v>3</x:v>
      </x:c>
      <x:c r="G52" s="61" t="n">
        <x:v>14.25</x:v>
      </x:c>
      <x:c r="H52" s="61" t="n">
        <x:v>13.6370967741935</x:v>
      </x:c>
      <x:c r="I52" s="61" t="n">
        <x:v>110.03087</x:v>
      </x:c>
      <x:c r="J52" s="61" t="n">
        <x:v>114.02067</x:v>
      </x:c>
      <x:c r="K52" s="61" t="n">
        <x:f>(I52/I51-1)*100</x:f>
        <x:v>1.3410661275851998</x:v>
      </x:c>
      <x:c r="L52" s="268" t="n">
        <x:v>115.76</x:v>
      </x:c>
      <x:c r="M52" s="268" t="n">
        <x:v>134.37</x:v>
      </x:c>
      <x:c r="N52" s="268" t="n">
        <x:f>(L52/L51-1)*100</x:f>
        <x:v>1.3660245183887865</x:v>
      </x:c>
    </x:row>
    <x:row r="53" s="43" customFormat="1" ht="15" customHeight="1">
      <x:c r="A53" s="62" t="n">
        <x:v>45748</x:v>
      </x:c>
      <x:c r="B53" s="63" t="n">
        <x:v>0.43</x:v>
      </x:c>
      <x:c r="C53" s="63" t="n">
        <x:f>((1+B42/100)*(1+B43/100)*(1+B44/100)*(1+B45/100)*(1+B46/100)*(1+B47/100)*(1+B48/100)*(1+B49/100)*(1+B50/100)*(1+B51/100)*(1+B52/100)*(1+B53/100)-1)*100</x:f>
        <x:v>5.52972858849774</x:v>
      </x:c>
      <x:c r="D53" s="63" t="n"/>
      <x:c r="E53" s="269" t="str">
        <x:f>IF(COUNT(D42:D53)=12,(PRODUCT((D42/100+1),(D43/100+1),(D44/100+1),(D45/100+1),(D46/100+1),(D47/100+1),(D48/100+1),(D49/100+1),(D50/100+1),(D51/100+1),(D52/100+1),(D53/100+1))-1)*100,"")</x:f>
      </x:c>
      <x:c r="F53" s="63" t="n">
        <x:v>3</x:v>
      </x:c>
      <x:c r="G53" s="63" t="n">
        <x:v>14.25</x:v>
      </x:c>
      <x:c r="H53" s="63" t="n">
        <x:v>14.25</x:v>
      </x:c>
      <x:c r="I53" s="63" t="n">
        <x:v>109.51799</x:v>
      </x:c>
      <x:c r="J53" s="63" t="n">
        <x:v>112.59512</x:v>
      </x:c>
      <x:c r="K53" s="63" t="n">
        <x:f>(I53/I52-1)*100</x:f>
        <x:v>-0.4661237341847757</x:v>
      </x:c>
      <x:c r="L53" s="269" t="n">
        <x:v>115.49</x:v>
      </x:c>
      <x:c r="M53" s="269" t="n">
        <x:v>135.11</x:v>
      </x:c>
      <x:c r="N53" s="269" t="n">
        <x:f>(L53/L52-1)*100</x:f>
        <x:v>-0.23324118866621113</x:v>
      </x:c>
    </x:row>
    <x:row r="54" s="43" customFormat="1" ht="15" customHeight="1">
      <x:c r="A54" s="60" t="n">
        <x:v>45778</x:v>
      </x:c>
      <x:c r="B54" s="61" t="n">
        <x:v>0.26</x:v>
      </x:c>
      <x:c r="C54" s="61" t="n">
        <x:f>((1+B43/100)*(1+B44/100)*(1+B45/100)*(1+B46/100)*(1+B47/100)*(1+B48/100)*(1+B49/100)*(1+B50/100)*(1+B51/100)*(1+B52/100)*(1+B53/100)*(1+B54/100)-1)*100</x:f>
        <x:v>5.319635559255276</x:v>
      </x:c>
      <x:c r="D54" s="61" t="n"/>
      <x:c r="E54" s="268" t="str">
        <x:f>IF(COUNT(D43:D54)=12,(PRODUCT((D43/100+1),(D44/100+1),(D45/100+1),(D46/100+1),(D47/100+1),(D48/100+1),(D49/100+1),(D50/100+1),(D51/100+1),(D52/100+1),(D53/100+1),(D54/100+1))-1)*100,"")</x:f>
      </x:c>
      <x:c r="F54" s="61" t="n">
        <x:v>3</x:v>
      </x:c>
      <x:c r="G54" s="61" t="n">
        <x:v>14.75</x:v>
      </x:c>
      <x:c r="H54" s="61" t="n">
        <x:v>14.6370967741935</x:v>
      </x:c>
      <x:c r="I54" s="61" t="n">
        <x:v>108.88849</x:v>
      </x:c>
      <x:c r="J54" s="61" t="n">
        <x:v>108.55704</x:v>
      </x:c>
      <x:c r="K54" s="61" t="n">
        <x:f>(I54/I53-1)*100</x:f>
        <x:v>-0.5747914109818786</x:v>
      </x:c>
      <x:c r="L54" s="268" t="n">
        <x:v>112.94</x:v>
      </x:c>
      <x:c r="M54" s="268" t="n">
        <x:v>109.65</x:v>
      </x:c>
      <x:c r="N54" s="268" t="n">
        <x:f>(L54/L53-1)*100</x:f>
        <x:v>-2.2079833751839972</x:v>
      </x:c>
    </x:row>
    <x:row r="55" s="43" customFormat="1" ht="15" customHeight="1">
      <x:c r="A55" s="62" t="n">
        <x:v>45809</x:v>
      </x:c>
      <x:c r="B55" s="63" t="n">
        <x:v>0.24</x:v>
      </x:c>
      <x:c r="C55" s="63" t="n">
        <x:f>((1+B44/100)*(1+B45/100)*(1+B46/100)*(1+B47/100)*(1+B48/100)*(1+B49/100)*(1+B50/100)*(1+B51/100)*(1+B52/100)*(1+B53/100)*(1+B54/100)*(1+B55/100)-1)*100</x:f>
        <x:v>5.35116523759851</x:v>
      </x:c>
      <x:c r="D55" s="63" t="n"/>
      <x:c r="E55" s="269" t="str">
        <x:f>IF(COUNT(D44:D55)=12,(PRODUCT((D44/100+1),(D45/100+1),(D46/100+1),(D47/100+1),(D48/100+1),(D49/100+1),(D50/100+1),(D51/100+1),(D52/100+1),(D53/100+1),(D54/100+1),(D55/100+1))-1)*100,"")</x:f>
      </x:c>
      <x:c r="F55" s="63" t="n">
        <x:v>3</x:v>
      </x:c>
      <x:c r="G55" s="63" t="n">
        <x:v>15</x:v>
      </x:c>
      <x:c r="H55" s="63" t="n">
        <x:v>14.85</x:v>
      </x:c>
      <x:c r="I55" s="63" t="n">
        <x:v>108.82565</x:v>
      </x:c>
      <x:c r="J55" s="63" t="n">
        <x:v>107.36219</x:v>
      </x:c>
      <x:c r="K55" s="63" t="n">
        <x:f>(I55/I54-1)*100</x:f>
        <x:v>-0.05771041549020861</x:v>
      </x:c>
      <x:c r="L55" s="269" t="n">
        <x:v>112.88</x:v>
      </x:c>
      <x:c r="M55" s="269" t="n">
        <x:v>104.82</x:v>
      </x:c>
      <x:c r="N55" s="269" t="n">
        <x:f>(L55/L54-1)*100</x:f>
        <x:v>-0.05312555339118674</x:v>
      </x:c>
    </x:row>
    <x:row r="56" s="43" customFormat="1" ht="15" customHeight="1">
      <x:c r="A56" s="60" t="n">
        <x:v>45839</x:v>
      </x:c>
      <x:c r="B56" s="61" t="n">
        <x:v>0.26</x:v>
      </x:c>
      <x:c r="C56" s="61" t="n">
        <x:f>((1+B45/100)*(1+B46/100)*(1+B47/100)*(1+B48/100)*(1+B49/100)*(1+B50/100)*(1+B51/100)*(1+B52/100)*(1+B53/100)*(1+B54/100)*(1+B55/100)*(1+B56/100)-1)*100</x:f>
        <x:v>5.225222422012621</x:v>
      </x:c>
      <x:c r="D56" s="61" t="n"/>
      <x:c r="E56" s="268" t="str">
        <x:f>IF(COUNT(D45:D56)=12,(PRODUCT((D45/100+1),(D46/100+1),(D47/100+1),(D48/100+1),(D49/100+1),(D50/100+1),(D51/100+1),(D52/100+1),(D53/100+1),(D54/100+1),(D55/100+1),(D56/100+1))-1)*100,"")</x:f>
      </x:c>
      <x:c r="F56" s="61" t="n">
        <x:v>3</x:v>
      </x:c>
      <x:c r="G56" s="61" t="n">
        <x:v>15</x:v>
      </x:c>
      <x:c r="H56" s="61" t="n">
        <x:v>15</x:v>
      </x:c>
      <x:c r="I56" s="61" t="n">
        <x:v>108.60295</x:v>
      </x:c>
      <x:c r="J56" s="61" t="n">
        <x:v>113.10928</x:v>
      </x:c>
      <x:c r="K56" s="61" t="n">
        <x:f>(I56/I55-1)*100</x:f>
        <x:v>-0.20463925554314866</x:v>
      </x:c>
      <x:c r="L56" s="268" t="n">
        <x:v>115.49</x:v>
      </x:c>
      <x:c r="M56" s="268" t="n">
        <x:v>142.14</x:v>
      </x:c>
      <x:c r="N56" s="268" t="n">
        <x:f>(L56/L55-1)*100</x:f>
        <x:v>2.3121899362154474</x:v>
      </x:c>
    </x:row>
    <x:row r="57" s="43" customFormat="1" ht="15" customHeight="1">
      <x:c r="A57" s="62" t="n">
        <x:v>45870</x:v>
      </x:c>
      <x:c r="B57" s="63" t="n">
        <x:v>-0.11</x:v>
      </x:c>
      <x:c r="C57" s="63" t="n">
        <x:f>((1+B46/100)*(1+B47/100)*(1+B48/100)*(1+B49/100)*(1+B50/100)*(1+B51/100)*(1+B52/100)*(1+B53/100)*(1+B54/100)*(1+B55/100)*(1+B56/100)*(1+B57/100)-1)*100</x:f>
        <x:v>5.130500777503921</x:v>
      </x:c>
      <x:c r="D57" s="63" t="n"/>
      <x:c r="E57" s="269" t="str">
        <x:f>IF(COUNT(D46:D57)=12,(PRODUCT((D46/100+1),(D47/100+1),(D48/100+1),(D49/100+1),(D50/100+1),(D51/100+1),(D52/100+1),(D53/100+1),(D54/100+1),(D55/100+1),(D56/100+1),(D57/100+1))-1)*100,"")</x:f>
      </x:c>
      <x:c r="F57" s="63" t="n">
        <x:v>3</x:v>
      </x:c>
      <x:c r="G57" s="63" t="n">
        <x:v>15</x:v>
      </x:c>
      <x:c r="H57" s="63" t="n">
        <x:v>15</x:v>
      </x:c>
      <x:c r="I57" s="63" t="n">
        <x:v>108.84223</x:v>
      </x:c>
      <x:c r="J57" s="63" t="n">
        <x:v>110.38054</x:v>
      </x:c>
      <x:c r="K57" s="63" t="n">
        <x:f>(I57/I56-1)*100</x:f>
        <x:v>0.2203255068117249</x:v>
      </x:c>
      <x:c r="L57" s="269" t="n">
        <x:v>114.29</x:v>
      </x:c>
      <x:c r="M57" s="269" t="n">
        <x:v>119.11</x:v>
      </x:c>
      <x:c r="N57" s="269" t="n">
        <x:f>(L57/L56-1)*100</x:f>
        <x:v>-1.0390510000865771</x:v>
      </x:c>
    </x:row>
    <x:row r="58" s="43" customFormat="1" ht="15" customHeight="1">
      <x:c r="A58" s="60" t="n">
        <x:v>45901</x:v>
      </x:c>
      <x:c r="B58" s="61" t="n">
        <x:v>0.48</x:v>
      </x:c>
      <x:c r="C58" s="61" t="n">
        <x:v>5.17</x:v>
      </x:c>
      <x:c r="D58" s="61" t="n"/>
      <x:c r="E58" s="268" t="str">
        <x:f>IF(COUNT(D47:D58)=12,(PRODUCT((D47/100+1),(D48/100+1),(D49/100+1),(D50/100+1),(D51/100+1),(D52/100+1),(D53/100+1),(D54/100+1),(D55/100+1),(D56/100+1),(D57/100+1),(D58/100+1))-1)*100,"")</x:f>
      </x:c>
      <x:c r="F58" s="61" t="n">
        <x:v>3</x:v>
      </x:c>
      <x:c r="G58" s="61" t="n">
        <x:v>15</x:v>
      </x:c>
      <x:c r="H58" s="61" t="n">
        <x:v>15</x:v>
      </x:c>
      <x:c r="I58" s="61" t="n">
        <x:v>108.7154</x:v>
      </x:c>
      <x:c r="J58" s="61" t="n">
        <x:v>109.48375</x:v>
      </x:c>
      <x:c r="K58" s="61" t="n">
        <x:f>(I58/I57-1)*100</x:f>
        <x:v>-0.11652646220129403</x:v>
      </x:c>
      <x:c r="L58" s="268" t="n">
        <x:v>113.73</x:v>
      </x:c>
      <x:c r="M58" s="268" t="n">
        <x:v>106.36</x:v>
      </x:c>
      <x:c r="N58" s="268" t="n">
        <x:f>(L58/L57-1)*100</x:f>
        <x:v>-0.4899816256890399</x:v>
      </x:c>
    </x:row>
    <x:row r="59" s="43" customFormat="1" ht="15" customHeight="1">
      <x:c r="A59" s="62" t="n">
        <x:v>45931</x:v>
      </x:c>
      <x:c r="B59" s="63" t="n">
        <x:v>0.09</x:v>
      </x:c>
      <x:c r="C59" s="63" t="n">
        <x:v>4.68</x:v>
      </x:c>
      <x:c r="D59" s="63" t="n"/>
      <x:c r="E59" s="269" t="str">
        <x:f>IF(COUNT(D48:D59)=12,(PRODUCT((D48/100+1),(D49/100+1),(D50/100+1),(D51/100+1),(D52/100+1),(D53/100+1),(D54/100+1),(D55/100+1),(D56/100+1),(D57/100+1),(D58/100+1),(D59/100+1))-1)*100,"")</x:f>
      </x:c>
      <x:c r="F59" s="63" t="n">
        <x:v>3</x:v>
      </x:c>
      <x:c r="G59" s="63" t="n">
        <x:v>15</x:v>
      </x:c>
      <x:c r="H59" s="63" t="n">
        <x:v>15</x:v>
      </x:c>
      <x:c r="I59" s="63" t="n">
        <x:v>108.73877</x:v>
      </x:c>
      <x:c r="J59" s="63" t="n">
        <x:v>110.07682</x:v>
      </x:c>
      <x:c r="K59" s="63" t="n">
        <x:f>(I59/I58-1)*100</x:f>
        <x:v>0.021496494516881626</x:v>
      </x:c>
      <x:c r="L59" s="269" t="n">
        <x:v>114.97</x:v>
      </x:c>
      <x:c r="M59" s="269" t="n">
        <x:v>106.46</x:v>
      </x:c>
      <x:c r="N59" s="269" t="n">
        <x:f>(L59/L58-1)*100</x:f>
        <x:v>1.0903015914886183</x:v>
      </x:c>
    </x:row>
    <x:row r="60" s="43" customFormat="1" ht="15" customHeight="1">
      <x:c r="A60" s="60" t="n">
        <x:v>45962</x:v>
      </x:c>
      <x:c r="B60" s="61" t="n">
        <x:v>0.18</x:v>
      </x:c>
      <x:c r="C60" s="61" t="n">
        <x:v>4.46</x:v>
      </x:c>
      <x:c r="D60" s="61" t="n"/>
      <x:c r="E60" s="268" t="str">
        <x:f>IF(COUNT(D49:D60)=12,(PRODUCT((D49/100+1),(D50/100+1),(D51/100+1),(D52/100+1),(D53/100+1),(D54/100+1),(D55/100+1),(D56/100+1),(D57/100+1),(D58/100+1),(D59/100+1),(D60/100+1))-1)*100,"")</x:f>
      </x:c>
      <x:c r="F60" s="61" t="n">
        <x:v>3</x:v>
      </x:c>
      <x:c r="G60" s="61" t="n">
        <x:v>15</x:v>
      </x:c>
      <x:c r="H60" s="61" t="n">
        <x:v>15</x:v>
      </x:c>
      <x:c r="I60" s="61" t="n">
        <x:v>109.25356</x:v>
      </x:c>
      <x:c r="J60" s="61" t="n">
        <x:v>106.59892</x:v>
      </x:c>
      <x:c r="K60" s="61" t="n">
        <x:f>(I60/I59-1)*100</x:f>
        <x:v>0.47341900225650324</x:v>
      </x:c>
      <x:c r="L60" s="268" t="n">
        <x:v>115.16</x:v>
      </x:c>
      <x:c r="M60" s="268" t="n">
        <x:v>97.84</x:v>
      </x:c>
      <x:c r="N60" s="268" t="n">
        <x:f>(L60/L59-1)*100</x:f>
        <x:v>0.16526050273983905</x:v>
      </x:c>
    </x:row>
    <x:row r="61" s="43" customFormat="1" ht="15" customHeight="1">
      <x:c r="A61" s="62" t="n">
        <x:v>45992</x:v>
      </x:c>
      <x:c r="B61" s="63" t="n">
        <x:v>0.33</x:v>
      </x:c>
      <x:c r="C61" s="63" t="n">
        <x:v>4.26</x:v>
      </x:c>
      <x:c r="D61" s="63" t="n"/>
      <x:c r="E61" s="269" t="str">
        <x:f>IF(COUNT(D50:D61)=12,(PRODUCT((D50/100+1),(D51/100+1),(D52/100+1),(D53/100+1),(D54/100+1),(D55/100+1),(D56/100+1),(D57/100+1),(D58/100+1),(D59/100+1),(D60/100+1),(D61/100+1))-1)*100,"")</x:f>
      </x:c>
      <x:c r="F61" s="63" t="n">
        <x:v>3</x:v>
      </x:c>
      <x:c r="G61" s="63" t="n">
        <x:v>15</x:v>
      </x:c>
      <x:c r="H61" s="63" t="n">
        <x:v>15</x:v>
      </x:c>
      <x:c r="I61" s="63" t="n">
        <x:v>109.47578</x:v>
      </x:c>
      <x:c r="J61" s="63" t="n">
        <x:v>107.18417</x:v>
      </x:c>
      <x:c r="K61" s="63" t="n">
        <x:f>(I61/I60-1)*100</x:f>
        <x:v>0.20339840642265017</x:v>
      </x:c>
      <x:c r="L61" s="269" t="n">
        <x:v>115.26</x:v>
      </x:c>
      <x:c r="M61" s="269" t="n">
        <x:v>97.7</x:v>
      </x:c>
      <x:c r="N61" s="269" t="n">
        <x:f>(L61/L60-1)*100</x:f>
        <x:v>0.0868357068426695</x:v>
      </x:c>
    </x:row>
  </x:sheetData>
  <x:pageMargins left="0.7" right="0.7" top="0.75" bottom="0.75" header="0.3" footer="0.3"/>
  <x:legacyDrawing xmlns:r="http://schemas.openxmlformats.org/officeDocument/2006/relationships" r:id="R54aa5326035e4365"/>
</x:worksheet>
</file>

<file path=xl/worksheets/sheet4.xml><?xml version="1.0" encoding="utf-8"?>
<x:worksheet xmlns:x="http://schemas.openxmlformats.org/spreadsheetml/2006/main">
  <x:sheetPr>
    <x:tabColor rgb="FF1F5A94"/>
  </x:sheetPr>
  <x:sheetViews>
    <x:sheetView showGridLines="0" workbookViewId="0">
      <x:pane xSplit="3" ySplit="1" topLeftCell="D2" activePane="bottomRight" state="frozen"/>
    </x:sheetView>
  </x:sheetViews>
  <x:sheetFormatPr baseColWidth="8" defaultColWidth="8.6796875" defaultRowHeight="15"/>
  <x:cols>
    <x:col min="1" max="1" width="13" style="42" customWidth="1"/>
    <x:col min="2" max="14" width="19" style="42" customWidth="1"/>
  </x:cols>
  <x:sheetData>
    <x:row r="1" s="43" customFormat="1" ht="42" customHeight="1">
      <x:c r="A1" s="59" t="inlineStr">
        <x:is>
          <x:t xml:space="preserve">Trimestre</x:t>
        </x:is>
      </x:c>
      <x:c r="B1" s="59" t="inlineStr">
        <x:is>
          <x:t xml:space="preserve">Início</x:t>
        </x:is>
      </x:c>
      <x:c r="C1" s="59" t="inlineStr">
        <x:is>
          <x:t xml:space="preserve">Fim</x:t>
        </x:is>
      </x:c>
      <x:c r="D1" s="59" t="inlineStr">
        <x:is>
          <x:t xml:space="preserve">Desocupação Brasil (%)</x:t>
        </x:is>
      </x:c>
      <x:c r="E1" s="59" t="inlineStr">
        <x:is>
          <x:t xml:space="preserve">Desocupação Goiás (%)</x:t>
        </x:is>
      </x:c>
      <x:c r="F1" s="59" t="inlineStr">
        <x:is>
          <x:t xml:space="preserve">Diferença GO-BR (p.p.)</x:t>
        </x:is>
      </x:c>
      <x:c r="G1" s="59" t="inlineStr">
        <x:is>
          <x:t xml:space="preserve">Desocupação BR Var 12m (p.p.)</x:t>
        </x:is>
      </x:c>
      <x:c r="H1" s="59" t="inlineStr">
        <x:is>
          <x:t xml:space="preserve">Desocupação GO Var 12m (p.p.)</x:t>
        </x:is>
      </x:c>
      <x:c r="I1" s="59" t="inlineStr">
        <x:is>
          <x:t xml:space="preserve">Selic Média Trimestre (%)</x:t>
        </x:is>
      </x:c>
      <x:c r="J1" s="59" t="str">
        <x:v>IPCA Brasil no trimestre (composto, %)</x:v>
      </x:c>
      <x:c r="K1" s="59" t="inlineStr">
        <x:is>
          <x:t xml:space="preserve">IBC-Br Média Trimestre</x:t>
        </x:is>
      </x:c>
      <x:c r="L1" s="59" t="inlineStr">
        <x:is>
          <x:t xml:space="preserve">IBC-Br Var Trimestral (%)</x:t>
        </x:is>
      </x:c>
      <x:c r="M1" s="59" t="inlineStr">
        <x:is>
          <x:t xml:space="preserve">IBCR-GO Média Trimestre</x:t>
        </x:is>
      </x:c>
      <x:c r="N1" s="59" t="inlineStr">
        <x:is>
          <x:t xml:space="preserve">IBCR-GO Var Trimestral (%)</x:t>
        </x:is>
      </x:c>
    </x:row>
    <x:row r="2" s="43" customFormat="1" ht="15" customHeight="1">
      <x:c r="A2" s="64" t="inlineStr">
        <x:is>
          <x:t xml:space="preserve">2021T1</x:t>
        </x:is>
      </x:c>
      <x:c r="B2" s="65" t="n">
        <x:v>44197</x:v>
      </x:c>
      <x:c r="C2" s="65" t="n">
        <x:v>44286</x:v>
      </x:c>
      <x:c r="D2" s="61" t="n">
        <x:v>14.9</x:v>
      </x:c>
      <x:c r="E2" s="61" t="n">
        <x:v>13.9</x:v>
      </x:c>
      <x:c r="F2" s="61" t="n">
        <x:f>E2-D2</x:f>
        <x:v>-1</x:v>
      </x:c>
      <x:c r="G2" s="61"/>
      <x:c r="H2" s="61"/>
      <x:c r="I2" s="61" t="n">
        <x:v>2.11290322580645</x:v>
      </x:c>
      <x:c r="J2" s="61" t="n">
        <x:v>2.05249299499999</x:v>
      </x:c>
      <x:c r="K2" s="61" t="n">
        <x:f>AVERAGE('02 Mensal'!I2:I4)</x:f>
        <x:v>97.27546333333333</x:v>
      </x:c>
      <x:c r="L2" s="61"/>
      <x:c r="M2" s="268" t="n">
        <x:f>AVERAGE('02 Mensal'!L2:L4)</x:f>
        <x:v>93.08999999999999</x:v>
      </x:c>
      <x:c r="N2" s="268"/>
    </x:row>
    <x:row r="3" s="43" customFormat="1" ht="15" customHeight="1">
      <x:c r="A3" s="66" t="inlineStr">
        <x:is>
          <x:t xml:space="preserve">2021T2</x:t>
        </x:is>
      </x:c>
      <x:c r="B3" s="67" t="n">
        <x:v>44287</x:v>
      </x:c>
      <x:c r="C3" s="67" t="n">
        <x:v>44377</x:v>
      </x:c>
      <x:c r="D3" s="63" t="n">
        <x:v>14.2</x:v>
      </x:c>
      <x:c r="E3" s="63" t="n">
        <x:v>12.4</x:v>
      </x:c>
      <x:c r="F3" s="63" t="n">
        <x:f>E3-D3</x:f>
        <x:v>-1.799999999999999</x:v>
      </x:c>
      <x:c r="G3" s="63"/>
      <x:c r="H3" s="63"/>
      <x:c r="I3" s="63" t="n">
        <x:v>3.32634408602151</x:v>
      </x:c>
      <x:c r="J3" s="63" t="n">
        <x:v>1.67862863690003</x:v>
      </x:c>
      <x:c r="K3" s="63" t="n">
        <x:f>AVERAGE('02 Mensal'!I5:I7)</x:f>
        <x:v>96.69895000000001</x:v>
      </x:c>
      <x:c r="L3" s="63" t="n">
        <x:f>(K3/K2-1)*100</x:f>
        <x:v>-0.5926605883724179</x:v>
      </x:c>
      <x:c r="M3" s="269" t="n">
        <x:f>AVERAGE('02 Mensal'!L5:L7)</x:f>
        <x:v>96.96</x:v>
      </x:c>
      <x:c r="N3" s="269" t="n">
        <x:f>(M3/M2-1)*100</x:f>
        <x:v>4.157267160812128</x:v>
      </x:c>
    </x:row>
    <x:row r="4" s="43" customFormat="1" ht="15" customHeight="1">
      <x:c r="A4" s="64" t="inlineStr">
        <x:is>
          <x:t xml:space="preserve">2021T3</x:t>
        </x:is>
      </x:c>
      <x:c r="B4" s="65" t="n">
        <x:v>44378</x:v>
      </x:c>
      <x:c r="C4" s="65" t="n">
        <x:v>44469</x:v>
      </x:c>
      <x:c r="D4" s="61" t="n">
        <x:v>12.6</x:v>
      </x:c>
      <x:c r="E4" s="61" t="n">
        <x:v>10</x:v>
      </x:c>
      <x:c r="F4" s="61" t="n">
        <x:f>E4-D4</x:f>
        <x:v>-2.5999999999999996</x:v>
      </x:c>
      <x:c r="G4" s="61"/>
      <x:c r="H4" s="61"/>
      <x:c r="I4" s="61" t="n">
        <x:v>4.96254480286738</x:v>
      </x:c>
      <x:c r="J4" s="61" t="n">
        <x:v>3.0196768832</x:v>
      </x:c>
      <x:c r="K4" s="61" t="n">
        <x:f>AVERAGE('02 Mensal'!I8:I10)</x:f>
        <x:v>96.80176999999999</x:v>
      </x:c>
      <x:c r="L4" s="61" t="n">
        <x:f>(K4/K3-1)*100</x:f>
        <x:v>0.10633000668567316</x:v>
      </x:c>
      <x:c r="M4" s="268" t="n">
        <x:f>AVERAGE('02 Mensal'!L8:L10)</x:f>
        <x:v>96.88</x:v>
      </x:c>
      <x:c r="N4" s="268" t="n">
        <x:f>(M4/M3-1)*100</x:f>
        <x:v>-0.08250825082508628</x:v>
      </x:c>
    </x:row>
    <x:row r="5" s="43" customFormat="1" ht="15" customHeight="1">
      <x:c r="A5" s="66" t="inlineStr">
        <x:is>
          <x:t xml:space="preserve">2021T4</x:t>
        </x:is>
      </x:c>
      <x:c r="B5" s="67" t="n">
        <x:v>44470</x:v>
      </x:c>
      <x:c r="C5" s="67" t="n">
        <x:v>44561</x:v>
      </x:c>
      <x:c r="D5" s="63" t="n">
        <x:v>11.1</x:v>
      </x:c>
      <x:c r="E5" s="63" t="n">
        <x:v>8.7</x:v>
      </x:c>
      <x:c r="F5" s="63" t="n">
        <x:f>E5-D5</x:f>
        <x:v>-2.4000000000000004</x:v>
      </x:c>
      <x:c r="G5" s="63"/>
      <x:c r="H5" s="63"/>
      <x:c r="I5" s="63" t="n">
        <x:v>7.68548387096774</x:v>
      </x:c>
      <x:c r="J5" s="63" t="n">
        <x:v>2.95802168750001</x:v>
      </x:c>
      <x:c r="K5" s="63" t="n">
        <x:f>AVERAGE('02 Mensal'!I11:I13)</x:f>
        <x:v>98.64317</x:v>
      </x:c>
      <x:c r="L5" s="63" t="n">
        <x:f>(K5/K4-1)*100</x:f>
        <x:v>1.902237944616103</x:v>
      </x:c>
      <x:c r="M5" s="269" t="n">
        <x:f>AVERAGE('02 Mensal'!L11:L13)</x:f>
        <x:v>98.57</x:v>
      </x:c>
      <x:c r="N5" s="269" t="n">
        <x:f>(M5/M4-1)*100</x:f>
        <x:v>1.7444260941370748</x:v>
      </x:c>
    </x:row>
    <x:row r="6" s="43" customFormat="1" ht="15" customHeight="1">
      <x:c r="A6" s="64" t="inlineStr">
        <x:is>
          <x:t xml:space="preserve">2022T1</x:t>
        </x:is>
      </x:c>
      <x:c r="B6" s="65" t="n">
        <x:v>44562</x:v>
      </x:c>
      <x:c r="C6" s="65" t="n">
        <x:v>44651</x:v>
      </x:c>
      <x:c r="D6" s="61" t="n">
        <x:v>11.1</x:v>
      </x:c>
      <x:c r="E6" s="61" t="n">
        <x:v>8.9</x:v>
      </x:c>
      <x:c r="F6" s="61" t="n">
        <x:f>E6-D6</x:f>
        <x:v>-2.1999999999999993</x:v>
      </x:c>
      <x:c r="G6" s="61" t="n">
        <x:f>D6-D2</x:f>
        <x:v>-3.8000000000000007</x:v>
      </x:c>
      <x:c r="H6" s="61" t="n">
        <x:f>E6-E2</x:f>
        <x:v>-5</x:v>
      </x:c>
      <x:c r="I6" s="61" t="n">
        <x:v>10.3755760368664</x:v>
      </x:c>
      <x:c r="J6" s="61" t="n">
        <x:v>3.2006523548</x:v>
      </x:c>
      <x:c r="K6" s="61" t="n">
        <x:f>AVERAGE('02 Mensal'!I14:I16)</x:f>
        <x:v>98.49130333333333</x:v>
      </x:c>
      <x:c r="L6" s="61" t="n">
        <x:f>(K6/K5-1)*100</x:f>
        <x:v>-0.15395558219252203</x:v>
      </x:c>
      <x:c r="M6" s="268" t="n">
        <x:f>AVERAGE('02 Mensal'!L14:L16)</x:f>
        <x:v>104.06666666666666</x:v>
      </x:c>
      <x:c r="N6" s="268" t="n">
        <x:f>(M6/M5-1)*100</x:f>
        <x:v>5.576409319941833</x:v>
      </x:c>
    </x:row>
    <x:row r="7" s="43" customFormat="1" ht="15" customHeight="1">
      <x:c r="A7" s="66" t="inlineStr">
        <x:is>
          <x:t xml:space="preserve">2022T2</x:t>
        </x:is>
      </x:c>
      <x:c r="B7" s="67" t="n">
        <x:v>44652</x:v>
      </x:c>
      <x:c r="C7" s="67" t="n">
        <x:v>44742</x:v>
      </x:c>
      <x:c r="D7" s="63" t="n">
        <x:v>9.3</x:v>
      </x:c>
      <x:c r="E7" s="63" t="n">
        <x:v>6.8</x:v>
      </x:c>
      <x:c r="F7" s="63" t="n">
        <x:f>E7-D7</x:f>
        <x:v>-2.500000000000001</x:v>
      </x:c>
      <x:c r="G7" s="63" t="n">
        <x:f>D7-D3</x:f>
        <x:v>-4.899999999999999</x:v>
      </x:c>
      <x:c r="H7" s="63" t="n">
        <x:f>E7-E3</x:f>
        <x:v>-5.6000000000000005</x:v>
      </x:c>
      <x:c r="I7" s="63" t="n">
        <x:v>12.4569892473118</x:v>
      </x:c>
      <x:c r="J7" s="63" t="n">
        <x:v>2.21526637939997</x:v>
      </x:c>
      <x:c r="K7" s="63" t="n">
        <x:f>AVERAGE('02 Mensal'!I17:I19)</x:f>
        <x:v>99.53171666666667</x:v>
      </x:c>
      <x:c r="L7" s="63" t="n">
        <x:f>(K7/K6-1)*100</x:f>
        <x:v>1.056350457473565</x:v>
      </x:c>
      <x:c r="M7" s="269" t="n">
        <x:f>AVERAGE('02 Mensal'!L17:L19)</x:f>
        <x:v>100.46999999999998</x:v>
      </x:c>
      <x:c r="N7" s="269" t="n">
        <x:f>(M7/M6-1)*100</x:f>
        <x:v>-3.4561178731582376</x:v>
      </x:c>
    </x:row>
    <x:row r="8" s="43" customFormat="1" ht="15" customHeight="1">
      <x:c r="A8" s="64" t="inlineStr">
        <x:is>
          <x:t xml:space="preserve">2022T3</x:t>
        </x:is>
      </x:c>
      <x:c r="B8" s="65" t="n">
        <x:v>44743</x:v>
      </x:c>
      <x:c r="C8" s="65" t="n">
        <x:v>44834</x:v>
      </x:c>
      <x:c r="D8" s="61" t="n">
        <x:v>8.7</x:v>
      </x:c>
      <x:c r="E8" s="61" t="n">
        <x:v>6.7</x:v>
      </x:c>
      <x:c r="F8" s="61" t="n">
        <x:f>E8-D8</x:f>
        <x:v>-1.9999999999999991</x:v>
      </x:c>
      <x:c r="G8" s="61" t="n">
        <x:f>D8-D4</x:f>
        <x:v>-3.9000000000000004</x:v>
      </x:c>
      <x:c r="H8" s="61" t="n">
        <x:f>E8-E4</x:f>
        <x:v>-3.3</x:v>
      </x:c>
      <x:c r="I8" s="61" t="n">
        <x:v>13.5672043010753</x:v>
      </x:c>
      <x:c r="J8" s="61" t="n">
        <x:v>-1.3245430992</x:v>
      </x:c>
      <x:c r="K8" s="61" t="n">
        <x:f>AVERAGE('02 Mensal'!I20:I22)</x:f>
        <x:v>101.22603333333332</x:v>
      </x:c>
      <x:c r="L8" s="61" t="n">
        <x:f>(K8/K7-1)*100</x:f>
        <x:v>1.7022881985859328</x:v>
      </x:c>
      <x:c r="M8" s="268" t="n">
        <x:f>AVERAGE('02 Mensal'!L20:L22)</x:f>
        <x:v>97.77</x:v>
      </x:c>
      <x:c r="N8" s="268" t="n">
        <x:f>(M8/M7-1)*100</x:f>
        <x:v>-2.687369363989245</x:v>
      </x:c>
    </x:row>
    <x:row r="9" s="43" customFormat="1" ht="15" customHeight="1">
      <x:c r="A9" s="66" t="inlineStr">
        <x:is>
          <x:t xml:space="preserve">2022T4</x:t>
        </x:is>
      </x:c>
      <x:c r="B9" s="67" t="n">
        <x:v>44835</x:v>
      </x:c>
      <x:c r="C9" s="67" t="n">
        <x:v>44926</x:v>
      </x:c>
      <x:c r="D9" s="63" t="n">
        <x:v>7.9</x:v>
      </x:c>
      <x:c r="E9" s="63" t="n">
        <x:v>6.7</x:v>
      </x:c>
      <x:c r="F9" s="63" t="n">
        <x:f>E9-D9</x:f>
        <x:v>-1.2000000000000002</x:v>
      </x:c>
      <x:c r="G9" s="63" t="n">
        <x:f>D9-D5</x:f>
        <x:v>-3.1999999999999993</x:v>
      </x:c>
      <x:c r="H9" s="63" t="n">
        <x:f>E9-E5</x:f>
        <x:v>-1.9999999999999991</x:v>
      </x:c>
      <x:c r="I9" s="63" t="n">
        <x:v>13.75</x:v>
      </x:c>
      <x:c r="J9" s="63" t="n">
        <x:v>1.6286339978</x:v>
      </x:c>
      <x:c r="K9" s="63" t="n">
        <x:f>AVERAGE('02 Mensal'!I23:I25)</x:f>
        <x:v>100.91533333333332</x:v>
      </x:c>
      <x:c r="L9" s="63" t="n">
        <x:f>(K9/K8-1)*100</x:f>
        <x:v>-0.3069368518836213</x:v>
      </x:c>
      <x:c r="M9" s="269" t="n">
        <x:f>AVERAGE('02 Mensal'!L23:L25)</x:f>
        <x:v>97.40333333333335</x:v>
      </x:c>
      <x:c r="N9" s="269" t="n">
        <x:f>(M9/M8-1)*100</x:f>
        <x:v>-0.37502983191842754</x:v>
      </x:c>
    </x:row>
    <x:row r="10" s="43" customFormat="1" ht="15" customHeight="1">
      <x:c r="A10" s="64" t="inlineStr">
        <x:is>
          <x:t xml:space="preserve">2023T1</x:t>
        </x:is>
      </x:c>
      <x:c r="B10" s="65" t="n">
        <x:v>44927</x:v>
      </x:c>
      <x:c r="C10" s="65" t="n">
        <x:v>45016</x:v>
      </x:c>
      <x:c r="D10" s="61" t="n">
        <x:v>8.8</x:v>
      </x:c>
      <x:c r="E10" s="61" t="n">
        <x:v>6.8</x:v>
      </x:c>
      <x:c r="F10" s="61" t="n">
        <x:f>E10-D10</x:f>
        <x:v>-2.000000000000001</x:v>
      </x:c>
      <x:c r="G10" s="61" t="n">
        <x:f>D10-D6</x:f>
        <x:v>-2.299999999999999</x:v>
      </x:c>
      <x:c r="H10" s="61" t="n">
        <x:f>E10-E6</x:f>
        <x:v>-2.1000000000000005</x:v>
      </x:c>
      <x:c r="I10" s="61" t="n">
        <x:v>13.75</x:v>
      </x:c>
      <x:c r="J10" s="61" t="n">
        <x:v>2.09421060920001</x:v>
      </x:c>
      <x:c r="K10" s="61" t="n">
        <x:f>AVERAGE('02 Mensal'!I26:I28)</x:f>
        <x:v>102.09509333333334</x:v>
      </x:c>
      <x:c r="L10" s="61" t="n">
        <x:f>(K10/K9-1)*100</x:f>
        <x:v>1.169059211352108</x:v>
      </x:c>
      <x:c r="M10" s="268" t="n">
        <x:f>AVERAGE('02 Mensal'!L26:L28)</x:f>
        <x:v>108.09333333333332</x:v>
      </x:c>
      <x:c r="N10" s="268" t="n">
        <x:f>(M10/M9-1)*100</x:f>
        <x:v>10.974983744567224</x:v>
      </x:c>
    </x:row>
    <x:row r="11" s="43" customFormat="1" ht="15" customHeight="1">
      <x:c r="A11" s="66" t="inlineStr">
        <x:is>
          <x:t xml:space="preserve">2023T2</x:t>
        </x:is>
      </x:c>
      <x:c r="B11" s="67" t="n">
        <x:v>45017</x:v>
      </x:c>
      <x:c r="C11" s="67" t="n">
        <x:v>45107</x:v>
      </x:c>
      <x:c r="D11" s="63" t="n">
        <x:v>8</x:v>
      </x:c>
      <x:c r="E11" s="63" t="n">
        <x:v>6.2</x:v>
      </x:c>
      <x:c r="F11" s="63" t="n">
        <x:f>E11-D11</x:f>
        <x:v>-1.7999999999999998</x:v>
      </x:c>
      <x:c r="G11" s="63" t="n">
        <x:f>D11-D7</x:f>
        <x:v>-1.3000000000000007</x:v>
      </x:c>
      <x:c r="H11" s="63" t="n">
        <x:f>E11-E7</x:f>
        <x:v>-0.5999999999999996</x:v>
      </x:c>
      <x:c r="I11" s="63" t="n">
        <x:v>13.75</x:v>
      </x:c>
      <x:c r="J11" s="63" t="n">
        <x:v>0.760729877599986</x:v>
      </x:c>
      <x:c r="K11" s="63" t="n">
        <x:f>AVERAGE('02 Mensal'!I29:I31)</x:f>
        <x:v>102.91363999999999</x:v>
      </x:c>
      <x:c r="L11" s="63" t="n">
        <x:f>(K11/K10-1)*100</x:f>
        <x:v>0.8017492711370089</x:v>
      </x:c>
      <x:c r="M11" s="269" t="n">
        <x:f>AVERAGE('02 Mensal'!L29:L31)</x:f>
        <x:v>106.61666666666666</x:v>
      </x:c>
      <x:c r="N11" s="269" t="n">
        <x:f>(M11/M10-1)*100</x:f>
        <x:v>-1.366103367460214</x:v>
      </x:c>
    </x:row>
    <x:row r="12" s="43" customFormat="1" ht="15" customHeight="1">
      <x:c r="A12" s="64" t="inlineStr">
        <x:is>
          <x:t xml:space="preserve">2023T3</x:t>
        </x:is>
      </x:c>
      <x:c r="B12" s="65" t="n">
        <x:v>45108</x:v>
      </x:c>
      <x:c r="C12" s="65" t="n">
        <x:v>45199</x:v>
      </x:c>
      <x:c r="D12" s="61" t="n">
        <x:v>7.7</x:v>
      </x:c>
      <x:c r="E12" s="61" t="n">
        <x:v>6</x:v>
      </x:c>
      <x:c r="F12" s="61" t="n">
        <x:f>E12-D12</x:f>
        <x:v>-1.7000000000000002</x:v>
      </x:c>
      <x:c r="G12" s="61" t="n">
        <x:f>D12-D8</x:f>
        <x:v>-0.9999999999999991</x:v>
      </x:c>
      <x:c r="H12" s="61" t="n">
        <x:f>E12-E8</x:f>
        <x:v>-0.7000000000000002</x:v>
      </x:c>
      <x:c r="I12" s="61" t="n">
        <x:v>13.3718637992832</x:v>
      </x:c>
      <x:c r="J12" s="61" t="n">
        <x:v>0.61118671760001</x:v>
      </x:c>
      <x:c r="K12" s="61" t="n">
        <x:f>AVERAGE('02 Mensal'!I32:I34)</x:f>
        <x:v>102.63983333333333</x:v>
      </x:c>
      <x:c r="L12" s="61" t="n">
        <x:f>(K12/K11-1)*100</x:f>
        <x:v>-0.26605478794322623</x:v>
      </x:c>
      <x:c r="M12" s="268" t="n">
        <x:f>AVERAGE('02 Mensal'!L32:L34)</x:f>
        <x:v>106.00666666666666</x:v>
      </x:c>
      <x:c r="N12" s="268" t="n">
        <x:f>(M12/M11-1)*100</x:f>
        <x:v>-0.5721431921213105</x:v>
      </x:c>
    </x:row>
    <x:row r="13" s="43" customFormat="1" ht="15" customHeight="1">
      <x:c r="A13" s="66" t="inlineStr">
        <x:is>
          <x:t xml:space="preserve">2023T4</x:t>
        </x:is>
      </x:c>
      <x:c r="B13" s="67" t="n">
        <x:v>45200</x:v>
      </x:c>
      <x:c r="C13" s="67" t="n">
        <x:v>45291</x:v>
      </x:c>
      <x:c r="D13" s="63" t="n">
        <x:v>7.4</x:v>
      </x:c>
      <x:c r="E13" s="63" t="n">
        <x:v>5.6</x:v>
      </x:c>
      <x:c r="F13" s="63" t="n">
        <x:f>E13-D13</x:f>
        <x:v>-1.8000000000000007</x:v>
      </x:c>
      <x:c r="G13" s="63" t="n">
        <x:f>D13-D9</x:f>
        <x:v>-0.5</x:v>
      </x:c>
      <x:c r="H13" s="63" t="n">
        <x:f>E13-E9</x:f>
        <x:v>-1.1000000000000005</x:v>
      </x:c>
      <x:c r="I13" s="63" t="n">
        <x:v>12.3254480286738</x:v>
      </x:c>
      <x:c r="J13" s="63" t="n">
        <x:v>1.08358776319999</x:v>
      </x:c>
      <x:c r="K13" s="63" t="n">
        <x:f>AVERAGE('02 Mensal'!I35:I37)</x:f>
        <x:v>103.78410333333333</x:v>
      </x:c>
      <x:c r="L13" s="63" t="n">
        <x:f>(K13/K12-1)*100</x:f>
        <x:v>1.11484007995597</x:v>
      </x:c>
      <x:c r="M13" s="269" t="n">
        <x:f>AVERAGE('02 Mensal'!L35:L37)</x:f>
        <x:v>105.83</x:v>
      </x:c>
      <x:c r="N13" s="269" t="n">
        <x:f>(M13/M12-1)*100</x:f>
        <x:v>-0.1666561851455861</x:v>
      </x:c>
    </x:row>
    <x:row r="14" s="43" customFormat="1" ht="15" customHeight="1">
      <x:c r="A14" s="64" t="inlineStr">
        <x:is>
          <x:t xml:space="preserve">2024T1</x:t>
        </x:is>
      </x:c>
      <x:c r="B14" s="65" t="n">
        <x:v>45292</x:v>
      </x:c>
      <x:c r="C14" s="65" t="n">
        <x:v>45382</x:v>
      </x:c>
      <x:c r="D14" s="61" t="n">
        <x:v>7.9</x:v>
      </x:c>
      <x:c r="E14" s="61" t="n">
        <x:v>6.1</x:v>
      </x:c>
      <x:c r="F14" s="61" t="n">
        <x:f>E14-D14</x:f>
        <x:v>-1.8000000000000007</x:v>
      </x:c>
      <x:c r="G14" s="61" t="n">
        <x:f>D14-D10</x:f>
        <x:v>-0.9000000000000004</x:v>
      </x:c>
      <x:c r="H14" s="61" t="n">
        <x:f>E14-E10</x:f>
        <x:v>-0.7000000000000002</x:v>
      </x:c>
      <x:c r="I14" s="61" t="n">
        <x:v>11.3575268817204</x:v>
      </x:c>
      <x:c r="J14" s="61" t="n">
        <x:v>1.41549157759999</x:v>
      </x:c>
      <x:c r="K14" s="61" t="n">
        <x:f>AVERAGE('02 Mensal'!I38:I40)</x:f>
        <x:v>104.6012</x:v>
      </x:c>
      <x:c r="L14" s="61" t="n">
        <x:f>(K14/K13-1)*100</x:f>
        <x:v>0.7873042599234381</x:v>
      </x:c>
      <x:c r="M14" s="268" t="n">
        <x:f>AVERAGE('02 Mensal'!L38:L40)</x:f>
        <x:v>110.64999999999999</x:v>
      </x:c>
      <x:c r="N14" s="268" t="n">
        <x:f>(M14/M13-1)*100</x:f>
        <x:v>4.554474156666344</x:v>
      </x:c>
    </x:row>
    <x:row r="15" s="43" customFormat="1" ht="15" customHeight="1">
      <x:c r="A15" s="66" t="inlineStr">
        <x:is>
          <x:t xml:space="preserve">2024T2</x:t>
        </x:is>
      </x:c>
      <x:c r="B15" s="67" t="n">
        <x:v>45383</x:v>
      </x:c>
      <x:c r="C15" s="67" t="n">
        <x:v>45473</x:v>
      </x:c>
      <x:c r="D15" s="63" t="n">
        <x:v>6.9</x:v>
      </x:c>
      <x:c r="E15" s="63" t="n">
        <x:v>5.2</x:v>
      </x:c>
      <x:c r="F15" s="63" t="n">
        <x:f>E15-D15</x:f>
        <x:v>-1.7000000000000002</x:v>
      </x:c>
      <x:c r="G15" s="63" t="n">
        <x:f>D15-D11</x:f>
        <x:v>-1.0999999999999996</x:v>
      </x:c>
      <x:c r="H15" s="63" t="n">
        <x:f>E15-E11</x:f>
        <x:v>-1</x:v>
      </x:c>
      <x:c r="I15" s="63" t="n">
        <x:v>10.6048387096774</x:v>
      </x:c>
      <x:c r="J15" s="63" t="n">
        <x:v>1.05351567079999</x:v>
      </x:c>
      <x:c r="K15" s="63" t="n">
        <x:f>AVERAGE('02 Mensal'!I41:I43)</x:f>
        <x:v>105.59222</x:v>
      </x:c>
      <x:c r="L15" s="63" t="n">
        <x:f>(K15/K14-1)*100</x:f>
        <x:v>0.9474269893653187</x:v>
      </x:c>
      <x:c r="M15" s="269" t="n">
        <x:f>AVERAGE('02 Mensal'!L41:L43)</x:f>
        <x:v>109.43666666666667</x:v>
      </x:c>
      <x:c r="N15" s="269" t="n">
        <x:f>(M15/M14-1)*100</x:f>
        <x:v>-1.0965506853441664</x:v>
      </x:c>
    </x:row>
    <x:row r="16" s="43" customFormat="1" ht="15" customHeight="1">
      <x:c r="A16" s="64" t="inlineStr">
        <x:is>
          <x:t xml:space="preserve">2024T3</x:t>
        </x:is>
      </x:c>
      <x:c r="B16" s="65" t="n">
        <x:v>45474</x:v>
      </x:c>
      <x:c r="C16" s="65" t="n">
        <x:v>45565</x:v>
      </x:c>
      <x:c r="D16" s="61" t="n">
        <x:v>6.4</x:v>
      </x:c>
      <x:c r="E16" s="61" t="n">
        <x:v>5.2</x:v>
      </x:c>
      <x:c r="F16" s="61" t="n">
        <x:f>E16-D16</x:f>
        <x:v>-1.2000000000000002</x:v>
      </x:c>
      <x:c r="G16" s="61" t="n">
        <x:f>D16-D12</x:f>
        <x:v>-1.2999999999999998</x:v>
      </x:c>
      <x:c r="H16" s="61" t="n">
        <x:f>E16-E12</x:f>
        <x:v>-0.7999999999999998</x:v>
      </x:c>
      <x:c r="I16" s="61" t="n">
        <x:v>10.5333333333333</x:v>
      </x:c>
      <x:c r="J16" s="61" t="n">
        <x:v>0.80150766560001</x:v>
      </x:c>
      <x:c r="K16" s="61" t="n">
        <x:f>AVERAGE('02 Mensal'!I44:I46)</x:f>
        <x:v>107.43912</x:v>
      </x:c>
      <x:c r="L16" s="61" t="n">
        <x:f>(K16/K15-1)*100</x:f>
        <x:v>1.7490871960074372</x:v>
      </x:c>
      <x:c r="M16" s="268" t="n">
        <x:f>AVERAGE('02 Mensal'!L44:L46)</x:f>
        <x:v>108.27333333333333</x:v>
      </x:c>
      <x:c r="N16" s="268" t="n">
        <x:f>(M16/M15-1)*100</x:f>
        <x:v>-1.0630197069842584</x:v>
      </x:c>
    </x:row>
    <x:row r="17" s="43" customFormat="1" ht="15" customHeight="1">
      <x:c r="A17" s="66" t="inlineStr">
        <x:is>
          <x:t xml:space="preserve">2024T4</x:t>
        </x:is>
      </x:c>
      <x:c r="B17" s="67" t="n">
        <x:v>45566</x:v>
      </x:c>
      <x:c r="C17" s="67" t="n">
        <x:v>45657</x:v>
      </x:c>
      <x:c r="D17" s="63" t="n">
        <x:v>6.2</x:v>
      </x:c>
      <x:c r="E17" s="63" t="n">
        <x:v>4.9</x:v>
      </x:c>
      <x:c r="F17" s="63" t="n">
        <x:f>E17-D17</x:f>
        <x:v>-1.2999999999999998</x:v>
      </x:c>
      <x:c r="G17" s="63" t="n">
        <x:f>D17-D13</x:f>
        <x:v>-1.2000000000000002</x:v>
      </x:c>
      <x:c r="H17" s="63" t="n">
        <x:f>E17-E13</x:f>
        <x:v>-0.6999999999999993</x:v>
      </x:c>
      <x:c r="I17" s="63" t="n">
        <x:v>11.2650537634409</x:v>
      </x:c>
      <x:c r="J17" s="63" t="n">
        <x:v>1.47713535680001</x:v>
      </x:c>
      <x:c r="K17" s="63" t="n">
        <x:f>AVERAGE('02 Mensal'!I47:I49)</x:f>
        <x:v>107.88914666666666</x:v>
      </x:c>
      <x:c r="L17" s="63" t="n">
        <x:f>(K17/K16-1)*100</x:f>
        <x:v>0.41886667227604146</x:v>
      </x:c>
      <x:c r="M17" s="269" t="n">
        <x:f>AVERAGE('02 Mensal'!L47:L49)</x:f>
        <x:v>111.14666666666666</x:v>
      </x:c>
      <x:c r="N17" s="269" t="n">
        <x:f>(M17/M16-1)*100</x:f>
        <x:v>2.6537774767563693</x:v>
      </x:c>
    </x:row>
    <x:row r="18" s="43" customFormat="1" ht="15" customHeight="1">
      <x:c r="A18" s="64" t="inlineStr">
        <x:is>
          <x:t xml:space="preserve">2025T1</x:t>
        </x:is>
      </x:c>
      <x:c r="B18" s="65" t="n">
        <x:v>45658</x:v>
      </x:c>
      <x:c r="C18" s="65" t="n">
        <x:v>45747</x:v>
      </x:c>
      <x:c r="D18" s="61" t="n">
        <x:v>7</x:v>
      </x:c>
      <x:c r="E18" s="61" t="n">
        <x:v>5.3</x:v>
      </x:c>
      <x:c r="F18" s="61" t="n">
        <x:f>E18-D18</x:f>
        <x:v>-1.7000000000000002</x:v>
      </x:c>
      <x:c r="G18" s="61" t="n">
        <x:f>D18-D14</x:f>
        <x:v>-0.9000000000000004</x:v>
      </x:c>
      <x:c r="H18" s="61" t="n">
        <x:f>E18-E14</x:f>
        <x:v>-0.7999999999999998</x:v>
      </x:c>
      <x:c r="I18" s="61" t="n">
        <x:v>13.0672043010753</x:v>
      </x:c>
      <x:c r="J18" s="61" t="n">
        <x:v>2.04033973760003</x:v>
      </x:c>
      <x:c r="K18" s="61" t="n">
        <x:f>AVERAGE('02 Mensal'!I50:I52)</x:f>
        <x:v>108.88692333333334</x:v>
      </x:c>
      <x:c r="L18" s="61" t="n">
        <x:f>(K18/K17-1)*100</x:f>
        <x:v>0.924816533909012</x:v>
      </x:c>
      <x:c r="M18" s="268" t="n">
        <x:f>AVERAGE('02 Mensal'!L50:L52)</x:f>
        <x:v>114.31666666666666</x:v>
      </x:c>
      <x:c r="N18" s="268" t="n">
        <x:f>(M18/M17-1)*100</x:f>
        <x:v>2.8520873320537543</x:v>
      </x:c>
    </x:row>
    <x:row r="19" s="43" customFormat="1" ht="15" customHeight="1">
      <x:c r="A19" s="66" t="inlineStr">
        <x:is>
          <x:t xml:space="preserve">2025T2</x:t>
        </x:is>
      </x:c>
      <x:c r="B19" s="67" t="n">
        <x:v>45748</x:v>
      </x:c>
      <x:c r="C19" s="67" t="n">
        <x:v>45838</x:v>
      </x:c>
      <x:c r="D19" s="63" t="n">
        <x:v>5.8</x:v>
      </x:c>
      <x:c r="E19" s="63" t="n">
        <x:v>4.4</x:v>
      </x:c>
      <x:c r="F19" s="63" t="n">
        <x:f>E19-D19</x:f>
        <x:v>-1.3999999999999995</x:v>
      </x:c>
      <x:c r="G19" s="63" t="n">
        <x:f>D19-D15</x:f>
        <x:v>-1.1000000000000005</x:v>
      </x:c>
      <x:c r="H19" s="63" t="n">
        <x:f>E19-E15</x:f>
        <x:v>-0.7999999999999998</x:v>
      </x:c>
      <x:c r="I19" s="63" t="n">
        <x:v>14.5790322580645</x:v>
      </x:c>
      <x:c r="J19" s="63" t="n">
        <x:v>0.932776683199976</x:v>
      </x:c>
      <x:c r="K19" s="63" t="n">
        <x:f>AVERAGE('02 Mensal'!I53:I55)</x:f>
        <x:v>109.07737666666667</x:v>
      </x:c>
      <x:c r="L19" s="63" t="n">
        <x:f>(K19/K18-1)*100</x:f>
        <x:v>0.1749092797399543</x:v>
      </x:c>
      <x:c r="M19" s="269" t="n">
        <x:f>AVERAGE('02 Mensal'!L53:L55)</x:f>
        <x:v>113.77</x:v>
      </x:c>
      <x:c r="N19" s="269" t="n">
        <x:f>(M19/M18-1)*100</x:f>
        <x:v>-0.4782038197988059</x:v>
      </x:c>
    </x:row>
    <x:row r="20" s="43" customFormat="1" ht="15" customHeight="1">
      <x:c r="A20" s="64" t="inlineStr">
        <x:is>
          <x:t xml:space="preserve">2025T3</x:t>
        </x:is>
      </x:c>
      <x:c r="B20" s="65" t="n">
        <x:v>45839</x:v>
      </x:c>
      <x:c r="C20" s="65" t="n">
        <x:v>45930</x:v>
      </x:c>
      <x:c r="D20" s="61" t="n">
        <x:v>5.6</x:v>
      </x:c>
      <x:c r="E20" s="61" t="n">
        <x:v>4.5</x:v>
      </x:c>
      <x:c r="F20" s="61" t="n">
        <x:f>E20-D20</x:f>
        <x:v>-1.0999999999999996</x:v>
      </x:c>
      <x:c r="G20" s="61" t="n">
        <x:f>D20-D16</x:f>
        <x:v>-0.8000000000000007</x:v>
      </x:c>
      <x:c r="H20" s="61" t="n">
        <x:f>E20-E16</x:f>
        <x:v>-0.7000000000000002</x:v>
      </x:c>
      <x:c r="I20" s="61" t="n">
        <x:v>15</x:v>
      </x:c>
      <x:c r="J20" s="61" t="n">
        <x:v>0.630432627199995</x:v>
      </x:c>
      <x:c r="K20" s="61" t="n">
        <x:f>AVERAGE('02 Mensal'!I56:I58)</x:f>
        <x:v>108.72019333333333</x:v>
      </x:c>
      <x:c r="L20" s="61" t="n">
        <x:f>(K20/K19-1)*100</x:f>
        <x:v>-0.32745867589469846</x:v>
      </x:c>
      <x:c r="M20" s="268" t="n">
        <x:f>AVERAGE('02 Mensal'!L56:L58)</x:f>
        <x:v>114.50333333333333</x:v>
      </x:c>
      <x:c r="N20" s="268" t="n">
        <x:f>(M20/M19-1)*100</x:f>
        <x:v>0.6445753127655163</x:v>
      </x:c>
    </x:row>
    <x:row r="21" s="43" customFormat="1" ht="15" customHeight="1">
      <x:c r="A21" s="66" t="inlineStr">
        <x:is>
          <x:t xml:space="preserve">2025T4</x:t>
        </x:is>
      </x:c>
      <x:c r="B21" s="67" t="n">
        <x:v>45931</x:v>
      </x:c>
      <x:c r="C21" s="67" t="n">
        <x:v>46022</x:v>
      </x:c>
      <x:c r="D21" s="63" t="n">
        <x:v>5.1</x:v>
      </x:c>
      <x:c r="E21" s="63" t="n">
        <x:v>3.9</x:v>
      </x:c>
      <x:c r="F21" s="63" t="n">
        <x:f>E21-D21</x:f>
        <x:v>-1.1999999999999997</x:v>
      </x:c>
      <x:c r="G21" s="63" t="n">
        <x:f>D21-D17</x:f>
        <x:v>-1.1000000000000005</x:v>
      </x:c>
      <x:c r="H21" s="63" t="n">
        <x:f>E21-E17</x:f>
        <x:v>-1.0000000000000004</x:v>
      </x:c>
      <x:c r="I21" s="63" t="n">
        <x:v>15</x:v>
      </x:c>
      <x:c r="J21" s="63" t="n">
        <x:v>0.601053534600005</x:v>
      </x:c>
      <x:c r="K21" s="63" t="n">
        <x:f>AVERAGE('02 Mensal'!I59:I61)</x:f>
        <x:v>109.15603666666665</x:v>
      </x:c>
      <x:c r="L21" s="63" t="n">
        <x:f>(K21/K20-1)*100</x:f>
        <x:v>0.40088535530564684</x:v>
      </x:c>
      <x:c r="M21" s="269" t="n">
        <x:f>AVERAGE('02 Mensal'!L59:L61)</x:f>
        <x:v>115.13</x:v>
      </x:c>
      <x:c r="N21" s="269" t="n">
        <x:f>(M21/M20-1)*100</x:f>
        <x:v>0.5472911996739604</x:v>
      </x:c>
    </x:row>
  </x:sheetData>
  <x:pageMargins left="0.7" right="0.7" top="0.75" bottom="0.75" header="0.3" footer="0.3"/>
  <x:legacyDrawing xmlns:r="http://schemas.openxmlformats.org/officeDocument/2006/relationships" r:id="R3a723d72e6b14027"/>
</x:worksheet>
</file>

<file path=xl/worksheets/sheet5.xml><?xml version="1.0" encoding="utf-8"?>
<x:worksheet xmlns:x="http://schemas.openxmlformats.org/spreadsheetml/2006/main">
  <x:sheetPr>
    <x:tabColor rgb="FF1F5A94"/>
  </x:sheetPr>
  <x:sheetViews>
    <x:sheetView showGridLines="0" workbookViewId="0">
      <x:pane ySplit="1" topLeftCell="A2" activePane="bottomLeft" state="frozen"/>
    </x:sheetView>
  </x:sheetViews>
  <x:sheetFormatPr baseColWidth="8" defaultColWidth="8.6796875" defaultRowHeight="15"/>
  <x:cols>
    <x:col min="1" max="1" width="16" style="42" customWidth="1"/>
    <x:col min="2" max="2" width="24" style="42" customWidth="1"/>
  </x:cols>
  <x:sheetData>
    <x:row r="1" s="43" customFormat="1" ht="30" customHeight="1">
      <x:c r="A1" s="68" t="inlineStr">
        <x:is>
          <x:t xml:space="preserve">Data</x:t>
        </x:is>
      </x:c>
      <x:c r="B1" s="68" t="inlineStr">
        <x:is>
          <x:t xml:space="preserve">Selic Meta (% a.a.)</x:t>
        </x:is>
      </x:c>
    </x:row>
    <x:row r="2" s="43" customFormat="1" ht="15" customHeight="1">
      <x:c r="A2" s="69" t="n">
        <x:v>44197</x:v>
      </x:c>
      <x:c r="B2" s="70" t="n">
        <x:v>2</x:v>
      </x:c>
    </x:row>
    <x:row r="3" s="43" customFormat="1" ht="15" customHeight="1">
      <x:c r="A3" s="71" t="n">
        <x:v>44198</x:v>
      </x:c>
      <x:c r="B3" s="72" t="n">
        <x:v>2</x:v>
      </x:c>
    </x:row>
    <x:row r="4" s="43" customFormat="1" ht="15" customHeight="1">
      <x:c r="A4" s="69" t="n">
        <x:v>44199</x:v>
      </x:c>
      <x:c r="B4" s="70" t="n">
        <x:v>2</x:v>
      </x:c>
    </x:row>
    <x:row r="5" s="43" customFormat="1" ht="15" customHeight="1">
      <x:c r="A5" s="71" t="n">
        <x:v>44200</x:v>
      </x:c>
      <x:c r="B5" s="72" t="n">
        <x:v>2</x:v>
      </x:c>
    </x:row>
    <x:row r="6" s="43" customFormat="1" ht="15" customHeight="1">
      <x:c r="A6" s="69" t="n">
        <x:v>44201</x:v>
      </x:c>
      <x:c r="B6" s="70" t="n">
        <x:v>2</x:v>
      </x:c>
    </x:row>
    <x:row r="7" s="43" customFormat="1" ht="15" customHeight="1">
      <x:c r="A7" s="71" t="n">
        <x:v>44202</x:v>
      </x:c>
      <x:c r="B7" s="72" t="n">
        <x:v>2</x:v>
      </x:c>
    </x:row>
    <x:row r="8" s="43" customFormat="1" ht="15" customHeight="1">
      <x:c r="A8" s="69" t="n">
        <x:v>44203</x:v>
      </x:c>
      <x:c r="B8" s="70" t="n">
        <x:v>2</x:v>
      </x:c>
    </x:row>
    <x:row r="9" s="43" customFormat="1" ht="15" customHeight="1">
      <x:c r="A9" s="71" t="n">
        <x:v>44204</x:v>
      </x:c>
      <x:c r="B9" s="72" t="n">
        <x:v>2</x:v>
      </x:c>
    </x:row>
    <x:row r="10" s="43" customFormat="1" ht="15" customHeight="1">
      <x:c r="A10" s="69" t="n">
        <x:v>44205</x:v>
      </x:c>
      <x:c r="B10" s="70" t="n">
        <x:v>2</x:v>
      </x:c>
    </x:row>
    <x:row r="11" s="43" customFormat="1" ht="15" customHeight="1">
      <x:c r="A11" s="71" t="n">
        <x:v>44206</x:v>
      </x:c>
      <x:c r="B11" s="72" t="n">
        <x:v>2</x:v>
      </x:c>
    </x:row>
    <x:row r="12" s="43" customFormat="1" ht="15" customHeight="1">
      <x:c r="A12" s="69" t="n">
        <x:v>44207</x:v>
      </x:c>
      <x:c r="B12" s="70" t="n">
        <x:v>2</x:v>
      </x:c>
    </x:row>
    <x:row r="13" s="43" customFormat="1" ht="15" customHeight="1">
      <x:c r="A13" s="71" t="n">
        <x:v>44208</x:v>
      </x:c>
      <x:c r="B13" s="72" t="n">
        <x:v>2</x:v>
      </x:c>
    </x:row>
    <x:row r="14" s="43" customFormat="1" ht="15" customHeight="1">
      <x:c r="A14" s="69" t="n">
        <x:v>44209</x:v>
      </x:c>
      <x:c r="B14" s="70" t="n">
        <x:v>2</x:v>
      </x:c>
    </x:row>
    <x:row r="15" s="43" customFormat="1" ht="15" customHeight="1">
      <x:c r="A15" s="71" t="n">
        <x:v>44210</x:v>
      </x:c>
      <x:c r="B15" s="72" t="n">
        <x:v>2</x:v>
      </x:c>
    </x:row>
    <x:row r="16" s="43" customFormat="1" ht="15" customHeight="1">
      <x:c r="A16" s="69" t="n">
        <x:v>44211</x:v>
      </x:c>
      <x:c r="B16" s="70" t="n">
        <x:v>2</x:v>
      </x:c>
    </x:row>
    <x:row r="17" s="43" customFormat="1" ht="15" customHeight="1">
      <x:c r="A17" s="71" t="n">
        <x:v>44212</x:v>
      </x:c>
      <x:c r="B17" s="72" t="n">
        <x:v>2</x:v>
      </x:c>
    </x:row>
    <x:row r="18" s="43" customFormat="1" ht="15" customHeight="1">
      <x:c r="A18" s="69" t="n">
        <x:v>44213</x:v>
      </x:c>
      <x:c r="B18" s="70" t="n">
        <x:v>2</x:v>
      </x:c>
    </x:row>
    <x:row r="19" s="43" customFormat="1" ht="15" customHeight="1">
      <x:c r="A19" s="71" t="n">
        <x:v>44214</x:v>
      </x:c>
      <x:c r="B19" s="72" t="n">
        <x:v>2</x:v>
      </x:c>
    </x:row>
    <x:row r="20" s="43" customFormat="1" ht="15" customHeight="1">
      <x:c r="A20" s="69" t="n">
        <x:v>44215</x:v>
      </x:c>
      <x:c r="B20" s="70" t="n">
        <x:v>2</x:v>
      </x:c>
    </x:row>
    <x:row r="21" s="43" customFormat="1" ht="15" customHeight="1">
      <x:c r="A21" s="71" t="n">
        <x:v>44216</x:v>
      </x:c>
      <x:c r="B21" s="72" t="n">
        <x:v>2</x:v>
      </x:c>
    </x:row>
    <x:row r="22" s="43" customFormat="1" ht="15" customHeight="1">
      <x:c r="A22" s="69" t="n">
        <x:v>44217</x:v>
      </x:c>
      <x:c r="B22" s="70" t="n">
        <x:v>2</x:v>
      </x:c>
    </x:row>
    <x:row r="23" s="43" customFormat="1" ht="15" customHeight="1">
      <x:c r="A23" s="71" t="n">
        <x:v>44218</x:v>
      </x:c>
      <x:c r="B23" s="72" t="n">
        <x:v>2</x:v>
      </x:c>
    </x:row>
    <x:row r="24" s="43" customFormat="1" ht="15" customHeight="1">
      <x:c r="A24" s="69" t="n">
        <x:v>44219</x:v>
      </x:c>
      <x:c r="B24" s="70" t="n">
        <x:v>2</x:v>
      </x:c>
    </x:row>
    <x:row r="25" s="43" customFormat="1" ht="15" customHeight="1">
      <x:c r="A25" s="71" t="n">
        <x:v>44220</x:v>
      </x:c>
      <x:c r="B25" s="72" t="n">
        <x:v>2</x:v>
      </x:c>
    </x:row>
    <x:row r="26" s="43" customFormat="1" ht="15" customHeight="1">
      <x:c r="A26" s="69" t="n">
        <x:v>44221</x:v>
      </x:c>
      <x:c r="B26" s="70" t="n">
        <x:v>2</x:v>
      </x:c>
    </x:row>
    <x:row r="27" s="43" customFormat="1" ht="15" customHeight="1">
      <x:c r="A27" s="71" t="n">
        <x:v>44222</x:v>
      </x:c>
      <x:c r="B27" s="72" t="n">
        <x:v>2</x:v>
      </x:c>
    </x:row>
    <x:row r="28" s="43" customFormat="1" ht="15" customHeight="1">
      <x:c r="A28" s="69" t="n">
        <x:v>44223</x:v>
      </x:c>
      <x:c r="B28" s="70" t="n">
        <x:v>2</x:v>
      </x:c>
    </x:row>
    <x:row r="29" s="43" customFormat="1" ht="15" customHeight="1">
      <x:c r="A29" s="71" t="n">
        <x:v>44224</x:v>
      </x:c>
      <x:c r="B29" s="72" t="n">
        <x:v>2</x:v>
      </x:c>
    </x:row>
    <x:row r="30" s="43" customFormat="1" ht="15" customHeight="1">
      <x:c r="A30" s="69" t="n">
        <x:v>44225</x:v>
      </x:c>
      <x:c r="B30" s="70" t="n">
        <x:v>2</x:v>
      </x:c>
    </x:row>
    <x:row r="31" s="43" customFormat="1" ht="15" customHeight="1">
      <x:c r="A31" s="71" t="n">
        <x:v>44226</x:v>
      </x:c>
      <x:c r="B31" s="72" t="n">
        <x:v>2</x:v>
      </x:c>
    </x:row>
    <x:row r="32" s="43" customFormat="1" ht="15" customHeight="1">
      <x:c r="A32" s="69" t="n">
        <x:v>44227</x:v>
      </x:c>
      <x:c r="B32" s="70" t="n">
        <x:v>2</x:v>
      </x:c>
    </x:row>
    <x:row r="33" s="43" customFormat="1" ht="15" customHeight="1">
      <x:c r="A33" s="71" t="n">
        <x:v>44228</x:v>
      </x:c>
      <x:c r="B33" s="72" t="n">
        <x:v>2</x:v>
      </x:c>
    </x:row>
    <x:row r="34" s="43" customFormat="1" ht="15" customHeight="1">
      <x:c r="A34" s="69" t="n">
        <x:v>44229</x:v>
      </x:c>
      <x:c r="B34" s="70" t="n">
        <x:v>2</x:v>
      </x:c>
    </x:row>
    <x:row r="35" s="43" customFormat="1" ht="15" customHeight="1">
      <x:c r="A35" s="71" t="n">
        <x:v>44230</x:v>
      </x:c>
      <x:c r="B35" s="72" t="n">
        <x:v>2</x:v>
      </x:c>
    </x:row>
    <x:row r="36" s="43" customFormat="1" ht="15" customHeight="1">
      <x:c r="A36" s="69" t="n">
        <x:v>44231</x:v>
      </x:c>
      <x:c r="B36" s="70" t="n">
        <x:v>2</x:v>
      </x:c>
    </x:row>
    <x:row r="37" s="43" customFormat="1" ht="15" customHeight="1">
      <x:c r="A37" s="71" t="n">
        <x:v>44232</x:v>
      </x:c>
      <x:c r="B37" s="72" t="n">
        <x:v>2</x:v>
      </x:c>
    </x:row>
    <x:row r="38" s="43" customFormat="1" ht="15" customHeight="1">
      <x:c r="A38" s="69" t="n">
        <x:v>44233</x:v>
      </x:c>
      <x:c r="B38" s="70" t="n">
        <x:v>2</x:v>
      </x:c>
    </x:row>
    <x:row r="39" s="43" customFormat="1" ht="15" customHeight="1">
      <x:c r="A39" s="71" t="n">
        <x:v>44234</x:v>
      </x:c>
      <x:c r="B39" s="72" t="n">
        <x:v>2</x:v>
      </x:c>
    </x:row>
    <x:row r="40" s="43" customFormat="1" ht="15" customHeight="1">
      <x:c r="A40" s="69" t="n">
        <x:v>44235</x:v>
      </x:c>
      <x:c r="B40" s="70" t="n">
        <x:v>2</x:v>
      </x:c>
    </x:row>
    <x:row r="41" s="43" customFormat="1" ht="15" customHeight="1">
      <x:c r="A41" s="71" t="n">
        <x:v>44236</x:v>
      </x:c>
      <x:c r="B41" s="72" t="n">
        <x:v>2</x:v>
      </x:c>
    </x:row>
    <x:row r="42" s="43" customFormat="1" ht="15" customHeight="1">
      <x:c r="A42" s="69" t="n">
        <x:v>44237</x:v>
      </x:c>
      <x:c r="B42" s="70" t="n">
        <x:v>2</x:v>
      </x:c>
    </x:row>
    <x:row r="43" s="43" customFormat="1" ht="15" customHeight="1">
      <x:c r="A43" s="71" t="n">
        <x:v>44238</x:v>
      </x:c>
      <x:c r="B43" s="72" t="n">
        <x:v>2</x:v>
      </x:c>
    </x:row>
    <x:row r="44" s="43" customFormat="1" ht="15" customHeight="1">
      <x:c r="A44" s="69" t="n">
        <x:v>44239</x:v>
      </x:c>
      <x:c r="B44" s="70" t="n">
        <x:v>2</x:v>
      </x:c>
    </x:row>
    <x:row r="45" s="43" customFormat="1" ht="15" customHeight="1">
      <x:c r="A45" s="71" t="n">
        <x:v>44240</x:v>
      </x:c>
      <x:c r="B45" s="72" t="n">
        <x:v>2</x:v>
      </x:c>
    </x:row>
    <x:row r="46" s="43" customFormat="1" ht="15" customHeight="1">
      <x:c r="A46" s="69" t="n">
        <x:v>44241</x:v>
      </x:c>
      <x:c r="B46" s="70" t="n">
        <x:v>2</x:v>
      </x:c>
    </x:row>
    <x:row r="47" s="43" customFormat="1" ht="15" customHeight="1">
      <x:c r="A47" s="71" t="n">
        <x:v>44242</x:v>
      </x:c>
      <x:c r="B47" s="72" t="n">
        <x:v>2</x:v>
      </x:c>
    </x:row>
    <x:row r="48" s="43" customFormat="1" ht="15" customHeight="1">
      <x:c r="A48" s="69" t="n">
        <x:v>44243</x:v>
      </x:c>
      <x:c r="B48" s="70" t="n">
        <x:v>2</x:v>
      </x:c>
    </x:row>
    <x:row r="49" s="43" customFormat="1" ht="15" customHeight="1">
      <x:c r="A49" s="71" t="n">
        <x:v>44244</x:v>
      </x:c>
      <x:c r="B49" s="72" t="n">
        <x:v>2</x:v>
      </x:c>
    </x:row>
    <x:row r="50" s="43" customFormat="1" ht="15" customHeight="1">
      <x:c r="A50" s="69" t="n">
        <x:v>44245</x:v>
      </x:c>
      <x:c r="B50" s="70" t="n">
        <x:v>2</x:v>
      </x:c>
    </x:row>
    <x:row r="51" s="43" customFormat="1" ht="15" customHeight="1">
      <x:c r="A51" s="71" t="n">
        <x:v>44246</x:v>
      </x:c>
      <x:c r="B51" s="72" t="n">
        <x:v>2</x:v>
      </x:c>
    </x:row>
    <x:row r="52" s="43" customFormat="1" ht="15" customHeight="1">
      <x:c r="A52" s="69" t="n">
        <x:v>44247</x:v>
      </x:c>
      <x:c r="B52" s="70" t="n">
        <x:v>2</x:v>
      </x:c>
    </x:row>
    <x:row r="53" s="43" customFormat="1" ht="15" customHeight="1">
      <x:c r="A53" s="71" t="n">
        <x:v>44248</x:v>
      </x:c>
      <x:c r="B53" s="72" t="n">
        <x:v>2</x:v>
      </x:c>
    </x:row>
    <x:row r="54" s="43" customFormat="1" ht="15" customHeight="1">
      <x:c r="A54" s="69" t="n">
        <x:v>44249</x:v>
      </x:c>
      <x:c r="B54" s="70" t="n">
        <x:v>2</x:v>
      </x:c>
    </x:row>
    <x:row r="55" s="43" customFormat="1" ht="15" customHeight="1">
      <x:c r="A55" s="71" t="n">
        <x:v>44250</x:v>
      </x:c>
      <x:c r="B55" s="72" t="n">
        <x:v>2</x:v>
      </x:c>
    </x:row>
    <x:row r="56" s="43" customFormat="1" ht="15" customHeight="1">
      <x:c r="A56" s="69" t="n">
        <x:v>44251</x:v>
      </x:c>
      <x:c r="B56" s="70" t="n">
        <x:v>2</x:v>
      </x:c>
    </x:row>
    <x:row r="57" s="43" customFormat="1" ht="15" customHeight="1">
      <x:c r="A57" s="71" t="n">
        <x:v>44252</x:v>
      </x:c>
      <x:c r="B57" s="72" t="n">
        <x:v>2</x:v>
      </x:c>
    </x:row>
    <x:row r="58" s="43" customFormat="1" ht="15" customHeight="1">
      <x:c r="A58" s="69" t="n">
        <x:v>44253</x:v>
      </x:c>
      <x:c r="B58" s="70" t="n">
        <x:v>2</x:v>
      </x:c>
    </x:row>
    <x:row r="59" s="43" customFormat="1" ht="15" customHeight="1">
      <x:c r="A59" s="71" t="n">
        <x:v>44254</x:v>
      </x:c>
      <x:c r="B59" s="72" t="n">
        <x:v>2</x:v>
      </x:c>
    </x:row>
    <x:row r="60" s="43" customFormat="1" ht="15" customHeight="1">
      <x:c r="A60" s="69" t="n">
        <x:v>44255</x:v>
      </x:c>
      <x:c r="B60" s="70" t="n">
        <x:v>2</x:v>
      </x:c>
    </x:row>
    <x:row r="61" s="43" customFormat="1" ht="15" customHeight="1">
      <x:c r="A61" s="71" t="n">
        <x:v>44256</x:v>
      </x:c>
      <x:c r="B61" s="72" t="n">
        <x:v>2</x:v>
      </x:c>
    </x:row>
    <x:row r="62" s="43" customFormat="1" ht="15" customHeight="1">
      <x:c r="A62" s="69" t="n">
        <x:v>44257</x:v>
      </x:c>
      <x:c r="B62" s="70" t="n">
        <x:v>2</x:v>
      </x:c>
    </x:row>
    <x:row r="63" s="43" customFormat="1" ht="15" customHeight="1">
      <x:c r="A63" s="71" t="n">
        <x:v>44258</x:v>
      </x:c>
      <x:c r="B63" s="72" t="n">
        <x:v>2</x:v>
      </x:c>
    </x:row>
    <x:row r="64" s="43" customFormat="1" ht="15" customHeight="1">
      <x:c r="A64" s="69" t="n">
        <x:v>44259</x:v>
      </x:c>
      <x:c r="B64" s="70" t="n">
        <x:v>2</x:v>
      </x:c>
    </x:row>
    <x:row r="65" s="43" customFormat="1" ht="15" customHeight="1">
      <x:c r="A65" s="71" t="n">
        <x:v>44260</x:v>
      </x:c>
      <x:c r="B65" s="72" t="n">
        <x:v>2</x:v>
      </x:c>
    </x:row>
    <x:row r="66" s="43" customFormat="1" ht="15" customHeight="1">
      <x:c r="A66" s="69" t="n">
        <x:v>44261</x:v>
      </x:c>
      <x:c r="B66" s="70" t="n">
        <x:v>2</x:v>
      </x:c>
    </x:row>
    <x:row r="67" s="43" customFormat="1" ht="15" customHeight="1">
      <x:c r="A67" s="71" t="n">
        <x:v>44262</x:v>
      </x:c>
      <x:c r="B67" s="72" t="n">
        <x:v>2</x:v>
      </x:c>
    </x:row>
    <x:row r="68" s="43" customFormat="1" ht="15" customHeight="1">
      <x:c r="A68" s="69" t="n">
        <x:v>44263</x:v>
      </x:c>
      <x:c r="B68" s="70" t="n">
        <x:v>2</x:v>
      </x:c>
    </x:row>
    <x:row r="69" s="43" customFormat="1" ht="15" customHeight="1">
      <x:c r="A69" s="71" t="n">
        <x:v>44264</x:v>
      </x:c>
      <x:c r="B69" s="72" t="n">
        <x:v>2</x:v>
      </x:c>
    </x:row>
    <x:row r="70" s="43" customFormat="1" ht="15" customHeight="1">
      <x:c r="A70" s="69" t="n">
        <x:v>44265</x:v>
      </x:c>
      <x:c r="B70" s="70" t="n">
        <x:v>2</x:v>
      </x:c>
    </x:row>
    <x:row r="71" s="43" customFormat="1" ht="15" customHeight="1">
      <x:c r="A71" s="71" t="n">
        <x:v>44266</x:v>
      </x:c>
      <x:c r="B71" s="72" t="n">
        <x:v>2</x:v>
      </x:c>
    </x:row>
    <x:row r="72" s="43" customFormat="1" ht="15" customHeight="1">
      <x:c r="A72" s="69" t="n">
        <x:v>44267</x:v>
      </x:c>
      <x:c r="B72" s="70" t="n">
        <x:v>2</x:v>
      </x:c>
    </x:row>
    <x:row r="73" s="43" customFormat="1" ht="15" customHeight="1">
      <x:c r="A73" s="71" t="n">
        <x:v>44268</x:v>
      </x:c>
      <x:c r="B73" s="72" t="n">
        <x:v>2</x:v>
      </x:c>
    </x:row>
    <x:row r="74" s="43" customFormat="1" ht="15" customHeight="1">
      <x:c r="A74" s="69" t="n">
        <x:v>44269</x:v>
      </x:c>
      <x:c r="B74" s="70" t="n">
        <x:v>2</x:v>
      </x:c>
    </x:row>
    <x:row r="75" s="43" customFormat="1" ht="15" customHeight="1">
      <x:c r="A75" s="71" t="n">
        <x:v>44270</x:v>
      </x:c>
      <x:c r="B75" s="72" t="n">
        <x:v>2</x:v>
      </x:c>
    </x:row>
    <x:row r="76" s="43" customFormat="1" ht="15" customHeight="1">
      <x:c r="A76" s="69" t="n">
        <x:v>44271</x:v>
      </x:c>
      <x:c r="B76" s="70" t="n">
        <x:v>2</x:v>
      </x:c>
    </x:row>
    <x:row r="77" s="43" customFormat="1" ht="15" customHeight="1">
      <x:c r="A77" s="71" t="n">
        <x:v>44272</x:v>
      </x:c>
      <x:c r="B77" s="72" t="n">
        <x:v>2</x:v>
      </x:c>
    </x:row>
    <x:row r="78" s="43" customFormat="1" ht="15" customHeight="1">
      <x:c r="A78" s="69" t="n">
        <x:v>44273</x:v>
      </x:c>
      <x:c r="B78" s="70" t="n">
        <x:v>2.75</x:v>
      </x:c>
    </x:row>
    <x:row r="79" s="43" customFormat="1" ht="15" customHeight="1">
      <x:c r="A79" s="71" t="n">
        <x:v>44274</x:v>
      </x:c>
      <x:c r="B79" s="72" t="n">
        <x:v>2.75</x:v>
      </x:c>
    </x:row>
    <x:row r="80" s="43" customFormat="1" ht="15" customHeight="1">
      <x:c r="A80" s="69" t="n">
        <x:v>44275</x:v>
      </x:c>
      <x:c r="B80" s="70" t="n">
        <x:v>2.75</x:v>
      </x:c>
    </x:row>
    <x:row r="81" s="43" customFormat="1" ht="15" customHeight="1">
      <x:c r="A81" s="71" t="n">
        <x:v>44276</x:v>
      </x:c>
      <x:c r="B81" s="72" t="n">
        <x:v>2.75</x:v>
      </x:c>
    </x:row>
    <x:row r="82" s="43" customFormat="1" ht="15" customHeight="1">
      <x:c r="A82" s="69" t="n">
        <x:v>44277</x:v>
      </x:c>
      <x:c r="B82" s="70" t="n">
        <x:v>2.75</x:v>
      </x:c>
    </x:row>
    <x:row r="83" s="43" customFormat="1" ht="15" customHeight="1">
      <x:c r="A83" s="71" t="n">
        <x:v>44278</x:v>
      </x:c>
      <x:c r="B83" s="72" t="n">
        <x:v>2.75</x:v>
      </x:c>
    </x:row>
    <x:row r="84" s="43" customFormat="1" ht="15" customHeight="1">
      <x:c r="A84" s="69" t="n">
        <x:v>44279</x:v>
      </x:c>
      <x:c r="B84" s="70" t="n">
        <x:v>2.75</x:v>
      </x:c>
    </x:row>
    <x:row r="85" s="43" customFormat="1" ht="15" customHeight="1">
      <x:c r="A85" s="71" t="n">
        <x:v>44280</x:v>
      </x:c>
      <x:c r="B85" s="72" t="n">
        <x:v>2.75</x:v>
      </x:c>
    </x:row>
    <x:row r="86" s="43" customFormat="1" ht="15" customHeight="1">
      <x:c r="A86" s="69" t="n">
        <x:v>44281</x:v>
      </x:c>
      <x:c r="B86" s="70" t="n">
        <x:v>2.75</x:v>
      </x:c>
    </x:row>
    <x:row r="87" s="43" customFormat="1" ht="15" customHeight="1">
      <x:c r="A87" s="71" t="n">
        <x:v>44282</x:v>
      </x:c>
      <x:c r="B87" s="72" t="n">
        <x:v>2.75</x:v>
      </x:c>
    </x:row>
    <x:row r="88" s="43" customFormat="1" ht="15" customHeight="1">
      <x:c r="A88" s="69" t="n">
        <x:v>44283</x:v>
      </x:c>
      <x:c r="B88" s="70" t="n">
        <x:v>2.75</x:v>
      </x:c>
    </x:row>
    <x:row r="89" s="43" customFormat="1" ht="15" customHeight="1">
      <x:c r="A89" s="71" t="n">
        <x:v>44284</x:v>
      </x:c>
      <x:c r="B89" s="72" t="n">
        <x:v>2.75</x:v>
      </x:c>
    </x:row>
    <x:row r="90" s="43" customFormat="1" ht="15" customHeight="1">
      <x:c r="A90" s="69" t="n">
        <x:v>44285</x:v>
      </x:c>
      <x:c r="B90" s="70" t="n">
        <x:v>2.75</x:v>
      </x:c>
    </x:row>
    <x:row r="91" s="43" customFormat="1" ht="15" customHeight="1">
      <x:c r="A91" s="71" t="n">
        <x:v>44286</x:v>
      </x:c>
      <x:c r="B91" s="72" t="n">
        <x:v>2.75</x:v>
      </x:c>
    </x:row>
    <x:row r="92" s="43" customFormat="1" ht="15" customHeight="1">
      <x:c r="A92" s="69" t="n">
        <x:v>44287</x:v>
      </x:c>
      <x:c r="B92" s="70" t="n">
        <x:v>2.75</x:v>
      </x:c>
    </x:row>
    <x:row r="93" s="43" customFormat="1" ht="15" customHeight="1">
      <x:c r="A93" s="71" t="n">
        <x:v>44288</x:v>
      </x:c>
      <x:c r="B93" s="72" t="n">
        <x:v>2.75</x:v>
      </x:c>
    </x:row>
    <x:row r="94" s="43" customFormat="1" ht="15" customHeight="1">
      <x:c r="A94" s="69" t="n">
        <x:v>44289</x:v>
      </x:c>
      <x:c r="B94" s="70" t="n">
        <x:v>2.75</x:v>
      </x:c>
    </x:row>
    <x:row r="95" s="43" customFormat="1" ht="15" customHeight="1">
      <x:c r="A95" s="71" t="n">
        <x:v>44290</x:v>
      </x:c>
      <x:c r="B95" s="72" t="n">
        <x:v>2.75</x:v>
      </x:c>
    </x:row>
    <x:row r="96" s="43" customFormat="1" ht="15" customHeight="1">
      <x:c r="A96" s="69" t="n">
        <x:v>44291</x:v>
      </x:c>
      <x:c r="B96" s="70" t="n">
        <x:v>2.75</x:v>
      </x:c>
    </x:row>
    <x:row r="97" s="43" customFormat="1" ht="15" customHeight="1">
      <x:c r="A97" s="71" t="n">
        <x:v>44292</x:v>
      </x:c>
      <x:c r="B97" s="72" t="n">
        <x:v>2.75</x:v>
      </x:c>
    </x:row>
    <x:row r="98" s="43" customFormat="1" ht="15" customHeight="1">
      <x:c r="A98" s="69" t="n">
        <x:v>44293</x:v>
      </x:c>
      <x:c r="B98" s="70" t="n">
        <x:v>2.75</x:v>
      </x:c>
    </x:row>
    <x:row r="99" s="43" customFormat="1" ht="15" customHeight="1">
      <x:c r="A99" s="71" t="n">
        <x:v>44294</x:v>
      </x:c>
      <x:c r="B99" s="72" t="n">
        <x:v>2.75</x:v>
      </x:c>
    </x:row>
    <x:row r="100" s="43" customFormat="1" ht="15" customHeight="1">
      <x:c r="A100" s="69" t="n">
        <x:v>44295</x:v>
      </x:c>
      <x:c r="B100" s="70" t="n">
        <x:v>2.75</x:v>
      </x:c>
    </x:row>
    <x:row r="101" s="43" customFormat="1" ht="15" customHeight="1">
      <x:c r="A101" s="71" t="n">
        <x:v>44296</x:v>
      </x:c>
      <x:c r="B101" s="72" t="n">
        <x:v>2.75</x:v>
      </x:c>
    </x:row>
    <x:row r="102" s="43" customFormat="1" ht="15" customHeight="1">
      <x:c r="A102" s="69" t="n">
        <x:v>44297</x:v>
      </x:c>
      <x:c r="B102" s="70" t="n">
        <x:v>2.75</x:v>
      </x:c>
    </x:row>
    <x:row r="103" s="43" customFormat="1" ht="15" customHeight="1">
      <x:c r="A103" s="71" t="n">
        <x:v>44298</x:v>
      </x:c>
      <x:c r="B103" s="72" t="n">
        <x:v>2.75</x:v>
      </x:c>
    </x:row>
    <x:row r="104" s="43" customFormat="1" ht="15" customHeight="1">
      <x:c r="A104" s="69" t="n">
        <x:v>44299</x:v>
      </x:c>
      <x:c r="B104" s="70" t="n">
        <x:v>2.75</x:v>
      </x:c>
    </x:row>
    <x:row r="105" s="43" customFormat="1" ht="15" customHeight="1">
      <x:c r="A105" s="71" t="n">
        <x:v>44300</x:v>
      </x:c>
      <x:c r="B105" s="72" t="n">
        <x:v>2.75</x:v>
      </x:c>
    </x:row>
    <x:row r="106" s="43" customFormat="1" ht="15" customHeight="1">
      <x:c r="A106" s="69" t="n">
        <x:v>44301</x:v>
      </x:c>
      <x:c r="B106" s="70" t="n">
        <x:v>2.75</x:v>
      </x:c>
    </x:row>
    <x:row r="107" s="43" customFormat="1" ht="15" customHeight="1">
      <x:c r="A107" s="71" t="n">
        <x:v>44302</x:v>
      </x:c>
      <x:c r="B107" s="72" t="n">
        <x:v>2.75</x:v>
      </x:c>
    </x:row>
    <x:row r="108" s="43" customFormat="1" ht="15" customHeight="1">
      <x:c r="A108" s="69" t="n">
        <x:v>44303</x:v>
      </x:c>
      <x:c r="B108" s="70" t="n">
        <x:v>2.75</x:v>
      </x:c>
    </x:row>
    <x:row r="109" s="43" customFormat="1" ht="15" customHeight="1">
      <x:c r="A109" s="71" t="n">
        <x:v>44304</x:v>
      </x:c>
      <x:c r="B109" s="72" t="n">
        <x:v>2.75</x:v>
      </x:c>
    </x:row>
    <x:row r="110" s="43" customFormat="1" ht="15" customHeight="1">
      <x:c r="A110" s="69" t="n">
        <x:v>44305</x:v>
      </x:c>
      <x:c r="B110" s="70" t="n">
        <x:v>2.75</x:v>
      </x:c>
    </x:row>
    <x:row r="111" s="43" customFormat="1" ht="15" customHeight="1">
      <x:c r="A111" s="71" t="n">
        <x:v>44306</x:v>
      </x:c>
      <x:c r="B111" s="72" t="n">
        <x:v>2.75</x:v>
      </x:c>
    </x:row>
    <x:row r="112" s="43" customFormat="1" ht="15" customHeight="1">
      <x:c r="A112" s="69" t="n">
        <x:v>44307</x:v>
      </x:c>
      <x:c r="B112" s="70" t="n">
        <x:v>2.75</x:v>
      </x:c>
    </x:row>
    <x:row r="113" s="43" customFormat="1" ht="15" customHeight="1">
      <x:c r="A113" s="71" t="n">
        <x:v>44308</x:v>
      </x:c>
      <x:c r="B113" s="72" t="n">
        <x:v>2.75</x:v>
      </x:c>
    </x:row>
    <x:row r="114" s="43" customFormat="1" ht="15" customHeight="1">
      <x:c r="A114" s="69" t="n">
        <x:v>44309</x:v>
      </x:c>
      <x:c r="B114" s="70" t="n">
        <x:v>2.75</x:v>
      </x:c>
    </x:row>
    <x:row r="115" s="43" customFormat="1" ht="15" customHeight="1">
      <x:c r="A115" s="71" t="n">
        <x:v>44310</x:v>
      </x:c>
      <x:c r="B115" s="72" t="n">
        <x:v>2.75</x:v>
      </x:c>
    </x:row>
    <x:row r="116" s="43" customFormat="1" ht="15" customHeight="1">
      <x:c r="A116" s="69" t="n">
        <x:v>44311</x:v>
      </x:c>
      <x:c r="B116" s="70" t="n">
        <x:v>2.75</x:v>
      </x:c>
    </x:row>
    <x:row r="117" s="43" customFormat="1" ht="15" customHeight="1">
      <x:c r="A117" s="71" t="n">
        <x:v>44312</x:v>
      </x:c>
      <x:c r="B117" s="72" t="n">
        <x:v>2.75</x:v>
      </x:c>
    </x:row>
    <x:row r="118" s="43" customFormat="1" ht="15" customHeight="1">
      <x:c r="A118" s="69" t="n">
        <x:v>44313</x:v>
      </x:c>
      <x:c r="B118" s="70" t="n">
        <x:v>2.75</x:v>
      </x:c>
    </x:row>
    <x:row r="119" s="43" customFormat="1" ht="15" customHeight="1">
      <x:c r="A119" s="71" t="n">
        <x:v>44314</x:v>
      </x:c>
      <x:c r="B119" s="72" t="n">
        <x:v>2.75</x:v>
      </x:c>
    </x:row>
    <x:row r="120" s="43" customFormat="1" ht="15" customHeight="1">
      <x:c r="A120" s="69" t="n">
        <x:v>44315</x:v>
      </x:c>
      <x:c r="B120" s="70" t="n">
        <x:v>2.75</x:v>
      </x:c>
    </x:row>
    <x:row r="121" s="43" customFormat="1" ht="15" customHeight="1">
      <x:c r="A121" s="71" t="n">
        <x:v>44316</x:v>
      </x:c>
      <x:c r="B121" s="72" t="n">
        <x:v>2.75</x:v>
      </x:c>
    </x:row>
    <x:row r="122" s="43" customFormat="1" ht="15" customHeight="1">
      <x:c r="A122" s="69" t="n">
        <x:v>44317</x:v>
      </x:c>
      <x:c r="B122" s="70" t="n">
        <x:v>2.75</x:v>
      </x:c>
    </x:row>
    <x:row r="123" s="43" customFormat="1" ht="15" customHeight="1">
      <x:c r="A123" s="71" t="n">
        <x:v>44318</x:v>
      </x:c>
      <x:c r="B123" s="72" t="n">
        <x:v>2.75</x:v>
      </x:c>
    </x:row>
    <x:row r="124" s="43" customFormat="1" ht="15" customHeight="1">
      <x:c r="A124" s="69" t="n">
        <x:v>44319</x:v>
      </x:c>
      <x:c r="B124" s="70" t="n">
        <x:v>2.75</x:v>
      </x:c>
    </x:row>
    <x:row r="125" s="43" customFormat="1" ht="15" customHeight="1">
      <x:c r="A125" s="71" t="n">
        <x:v>44320</x:v>
      </x:c>
      <x:c r="B125" s="72" t="n">
        <x:v>2.75</x:v>
      </x:c>
    </x:row>
    <x:row r="126" s="43" customFormat="1" ht="15" customHeight="1">
      <x:c r="A126" s="69" t="n">
        <x:v>44321</x:v>
      </x:c>
      <x:c r="B126" s="70" t="n">
        <x:v>2.75</x:v>
      </x:c>
    </x:row>
    <x:row r="127" s="43" customFormat="1" ht="15" customHeight="1">
      <x:c r="A127" s="71" t="n">
        <x:v>44322</x:v>
      </x:c>
      <x:c r="B127" s="72" t="n">
        <x:v>3.5</x:v>
      </x:c>
    </x:row>
    <x:row r="128" s="43" customFormat="1" ht="15" customHeight="1">
      <x:c r="A128" s="69" t="n">
        <x:v>44323</x:v>
      </x:c>
      <x:c r="B128" s="70" t="n">
        <x:v>3.5</x:v>
      </x:c>
    </x:row>
    <x:row r="129" s="43" customFormat="1" ht="15" customHeight="1">
      <x:c r="A129" s="71" t="n">
        <x:v>44324</x:v>
      </x:c>
      <x:c r="B129" s="72" t="n">
        <x:v>3.5</x:v>
      </x:c>
    </x:row>
    <x:row r="130" s="43" customFormat="1" ht="15" customHeight="1">
      <x:c r="A130" s="69" t="n">
        <x:v>44325</x:v>
      </x:c>
      <x:c r="B130" s="70" t="n">
        <x:v>3.5</x:v>
      </x:c>
    </x:row>
    <x:row r="131" s="43" customFormat="1" ht="15" customHeight="1">
      <x:c r="A131" s="71" t="n">
        <x:v>44326</x:v>
      </x:c>
      <x:c r="B131" s="72" t="n">
        <x:v>3.5</x:v>
      </x:c>
    </x:row>
    <x:row r="132" s="43" customFormat="1" ht="15" customHeight="1">
      <x:c r="A132" s="69" t="n">
        <x:v>44327</x:v>
      </x:c>
      <x:c r="B132" s="70" t="n">
        <x:v>3.5</x:v>
      </x:c>
    </x:row>
    <x:row r="133" s="43" customFormat="1" ht="15" customHeight="1">
      <x:c r="A133" s="71" t="n">
        <x:v>44328</x:v>
      </x:c>
      <x:c r="B133" s="72" t="n">
        <x:v>3.5</x:v>
      </x:c>
    </x:row>
    <x:row r="134" s="43" customFormat="1" ht="15" customHeight="1">
      <x:c r="A134" s="69" t="n">
        <x:v>44329</x:v>
      </x:c>
      <x:c r="B134" s="70" t="n">
        <x:v>3.5</x:v>
      </x:c>
    </x:row>
    <x:row r="135" s="43" customFormat="1" ht="15" customHeight="1">
      <x:c r="A135" s="71" t="n">
        <x:v>44330</x:v>
      </x:c>
      <x:c r="B135" s="72" t="n">
        <x:v>3.5</x:v>
      </x:c>
    </x:row>
    <x:row r="136" s="43" customFormat="1" ht="15" customHeight="1">
      <x:c r="A136" s="69" t="n">
        <x:v>44331</x:v>
      </x:c>
      <x:c r="B136" s="70" t="n">
        <x:v>3.5</x:v>
      </x:c>
    </x:row>
    <x:row r="137" s="43" customFormat="1" ht="15" customHeight="1">
      <x:c r="A137" s="71" t="n">
        <x:v>44332</x:v>
      </x:c>
      <x:c r="B137" s="72" t="n">
        <x:v>3.5</x:v>
      </x:c>
    </x:row>
    <x:row r="138" s="43" customFormat="1" ht="15" customHeight="1">
      <x:c r="A138" s="69" t="n">
        <x:v>44333</x:v>
      </x:c>
      <x:c r="B138" s="70" t="n">
        <x:v>3.5</x:v>
      </x:c>
    </x:row>
    <x:row r="139" s="43" customFormat="1" ht="15" customHeight="1">
      <x:c r="A139" s="71" t="n">
        <x:v>44334</x:v>
      </x:c>
      <x:c r="B139" s="72" t="n">
        <x:v>3.5</x:v>
      </x:c>
    </x:row>
    <x:row r="140" s="43" customFormat="1" ht="15" customHeight="1">
      <x:c r="A140" s="69" t="n">
        <x:v>44335</x:v>
      </x:c>
      <x:c r="B140" s="70" t="n">
        <x:v>3.5</x:v>
      </x:c>
    </x:row>
    <x:row r="141" s="43" customFormat="1" ht="15" customHeight="1">
      <x:c r="A141" s="71" t="n">
        <x:v>44336</x:v>
      </x:c>
      <x:c r="B141" s="72" t="n">
        <x:v>3.5</x:v>
      </x:c>
    </x:row>
    <x:row r="142" s="43" customFormat="1" ht="15" customHeight="1">
      <x:c r="A142" s="69" t="n">
        <x:v>44337</x:v>
      </x:c>
      <x:c r="B142" s="70" t="n">
        <x:v>3.5</x:v>
      </x:c>
    </x:row>
    <x:row r="143" s="43" customFormat="1" ht="15" customHeight="1">
      <x:c r="A143" s="71" t="n">
        <x:v>44338</x:v>
      </x:c>
      <x:c r="B143" s="72" t="n">
        <x:v>3.5</x:v>
      </x:c>
    </x:row>
    <x:row r="144" s="43" customFormat="1" ht="15" customHeight="1">
      <x:c r="A144" s="69" t="n">
        <x:v>44339</x:v>
      </x:c>
      <x:c r="B144" s="70" t="n">
        <x:v>3.5</x:v>
      </x:c>
    </x:row>
    <x:row r="145" s="43" customFormat="1" ht="15" customHeight="1">
      <x:c r="A145" s="71" t="n">
        <x:v>44340</x:v>
      </x:c>
      <x:c r="B145" s="72" t="n">
        <x:v>3.5</x:v>
      </x:c>
    </x:row>
    <x:row r="146" s="43" customFormat="1" ht="15" customHeight="1">
      <x:c r="A146" s="69" t="n">
        <x:v>44341</x:v>
      </x:c>
      <x:c r="B146" s="70" t="n">
        <x:v>3.5</x:v>
      </x:c>
    </x:row>
    <x:row r="147" s="43" customFormat="1" ht="15" customHeight="1">
      <x:c r="A147" s="71" t="n">
        <x:v>44342</x:v>
      </x:c>
      <x:c r="B147" s="72" t="n">
        <x:v>3.5</x:v>
      </x:c>
    </x:row>
    <x:row r="148" s="43" customFormat="1" ht="15" customHeight="1">
      <x:c r="A148" s="69" t="n">
        <x:v>44343</x:v>
      </x:c>
      <x:c r="B148" s="70" t="n">
        <x:v>3.5</x:v>
      </x:c>
    </x:row>
    <x:row r="149" s="43" customFormat="1" ht="15" customHeight="1">
      <x:c r="A149" s="71" t="n">
        <x:v>44344</x:v>
      </x:c>
      <x:c r="B149" s="72" t="n">
        <x:v>3.5</x:v>
      </x:c>
    </x:row>
    <x:row r="150" s="43" customFormat="1" ht="15" customHeight="1">
      <x:c r="A150" s="69" t="n">
        <x:v>44345</x:v>
      </x:c>
      <x:c r="B150" s="70" t="n">
        <x:v>3.5</x:v>
      </x:c>
    </x:row>
    <x:row r="151" s="43" customFormat="1" ht="15" customHeight="1">
      <x:c r="A151" s="71" t="n">
        <x:v>44346</x:v>
      </x:c>
      <x:c r="B151" s="72" t="n">
        <x:v>3.5</x:v>
      </x:c>
    </x:row>
    <x:row r="152" s="43" customFormat="1" ht="15" customHeight="1">
      <x:c r="A152" s="69" t="n">
        <x:v>44347</x:v>
      </x:c>
      <x:c r="B152" s="70" t="n">
        <x:v>3.5</x:v>
      </x:c>
    </x:row>
    <x:row r="153" s="43" customFormat="1" ht="15" customHeight="1">
      <x:c r="A153" s="71" t="n">
        <x:v>44348</x:v>
      </x:c>
      <x:c r="B153" s="72" t="n">
        <x:v>3.5</x:v>
      </x:c>
    </x:row>
    <x:row r="154" s="43" customFormat="1" ht="15" customHeight="1">
      <x:c r="A154" s="69" t="n">
        <x:v>44349</x:v>
      </x:c>
      <x:c r="B154" s="70" t="n">
        <x:v>3.5</x:v>
      </x:c>
    </x:row>
    <x:row r="155" s="43" customFormat="1" ht="15" customHeight="1">
      <x:c r="A155" s="71" t="n">
        <x:v>44350</x:v>
      </x:c>
      <x:c r="B155" s="72" t="n">
        <x:v>3.5</x:v>
      </x:c>
    </x:row>
    <x:row r="156" s="43" customFormat="1" ht="15" customHeight="1">
      <x:c r="A156" s="69" t="n">
        <x:v>44351</x:v>
      </x:c>
      <x:c r="B156" s="70" t="n">
        <x:v>3.5</x:v>
      </x:c>
    </x:row>
    <x:row r="157" s="43" customFormat="1" ht="15" customHeight="1">
      <x:c r="A157" s="71" t="n">
        <x:v>44352</x:v>
      </x:c>
      <x:c r="B157" s="72" t="n">
        <x:v>3.5</x:v>
      </x:c>
    </x:row>
    <x:row r="158" s="43" customFormat="1" ht="15" customHeight="1">
      <x:c r="A158" s="69" t="n">
        <x:v>44353</x:v>
      </x:c>
      <x:c r="B158" s="70" t="n">
        <x:v>3.5</x:v>
      </x:c>
    </x:row>
    <x:row r="159" s="43" customFormat="1" ht="15" customHeight="1">
      <x:c r="A159" s="71" t="n">
        <x:v>44354</x:v>
      </x:c>
      <x:c r="B159" s="72" t="n">
        <x:v>3.5</x:v>
      </x:c>
    </x:row>
    <x:row r="160" s="43" customFormat="1" ht="15" customHeight="1">
      <x:c r="A160" s="69" t="n">
        <x:v>44355</x:v>
      </x:c>
      <x:c r="B160" s="70" t="n">
        <x:v>3.5</x:v>
      </x:c>
    </x:row>
    <x:row r="161" s="43" customFormat="1" ht="15" customHeight="1">
      <x:c r="A161" s="71" t="n">
        <x:v>44356</x:v>
      </x:c>
      <x:c r="B161" s="72" t="n">
        <x:v>3.5</x:v>
      </x:c>
    </x:row>
    <x:row r="162" s="43" customFormat="1" ht="15" customHeight="1">
      <x:c r="A162" s="69" t="n">
        <x:v>44357</x:v>
      </x:c>
      <x:c r="B162" s="70" t="n">
        <x:v>3.5</x:v>
      </x:c>
    </x:row>
    <x:row r="163" s="43" customFormat="1" ht="15" customHeight="1">
      <x:c r="A163" s="71" t="n">
        <x:v>44358</x:v>
      </x:c>
      <x:c r="B163" s="72" t="n">
        <x:v>3.5</x:v>
      </x:c>
    </x:row>
    <x:row r="164" s="43" customFormat="1" ht="15" customHeight="1">
      <x:c r="A164" s="69" t="n">
        <x:v>44359</x:v>
      </x:c>
      <x:c r="B164" s="70" t="n">
        <x:v>3.5</x:v>
      </x:c>
    </x:row>
    <x:row r="165" s="43" customFormat="1" ht="15" customHeight="1">
      <x:c r="A165" s="71" t="n">
        <x:v>44360</x:v>
      </x:c>
      <x:c r="B165" s="72" t="n">
        <x:v>3.5</x:v>
      </x:c>
    </x:row>
    <x:row r="166" s="43" customFormat="1" ht="15" customHeight="1">
      <x:c r="A166" s="69" t="n">
        <x:v>44361</x:v>
      </x:c>
      <x:c r="B166" s="70" t="n">
        <x:v>3.5</x:v>
      </x:c>
    </x:row>
    <x:row r="167" s="43" customFormat="1" ht="15" customHeight="1">
      <x:c r="A167" s="71" t="n">
        <x:v>44362</x:v>
      </x:c>
      <x:c r="B167" s="72" t="n">
        <x:v>3.5</x:v>
      </x:c>
    </x:row>
    <x:row r="168" s="43" customFormat="1" ht="15" customHeight="1">
      <x:c r="A168" s="69" t="n">
        <x:v>44363</x:v>
      </x:c>
      <x:c r="B168" s="70" t="n">
        <x:v>3.5</x:v>
      </x:c>
    </x:row>
    <x:row r="169" s="43" customFormat="1" ht="15" customHeight="1">
      <x:c r="A169" s="71" t="n">
        <x:v>44364</x:v>
      </x:c>
      <x:c r="B169" s="72" t="n">
        <x:v>4.25</x:v>
      </x:c>
    </x:row>
    <x:row r="170" s="43" customFormat="1" ht="15" customHeight="1">
      <x:c r="A170" s="69" t="n">
        <x:v>44365</x:v>
      </x:c>
      <x:c r="B170" s="70" t="n">
        <x:v>4.25</x:v>
      </x:c>
    </x:row>
    <x:row r="171" s="43" customFormat="1" ht="15" customHeight="1">
      <x:c r="A171" s="71" t="n">
        <x:v>44366</x:v>
      </x:c>
      <x:c r="B171" s="72" t="n">
        <x:v>4.25</x:v>
      </x:c>
    </x:row>
    <x:row r="172" s="43" customFormat="1" ht="15" customHeight="1">
      <x:c r="A172" s="69" t="n">
        <x:v>44367</x:v>
      </x:c>
      <x:c r="B172" s="70" t="n">
        <x:v>4.25</x:v>
      </x:c>
    </x:row>
    <x:row r="173" s="43" customFormat="1" ht="15" customHeight="1">
      <x:c r="A173" s="71" t="n">
        <x:v>44368</x:v>
      </x:c>
      <x:c r="B173" s="72" t="n">
        <x:v>4.25</x:v>
      </x:c>
    </x:row>
    <x:row r="174" s="43" customFormat="1" ht="15" customHeight="1">
      <x:c r="A174" s="69" t="n">
        <x:v>44369</x:v>
      </x:c>
      <x:c r="B174" s="70" t="n">
        <x:v>4.25</x:v>
      </x:c>
    </x:row>
    <x:row r="175" s="43" customFormat="1" ht="15" customHeight="1">
      <x:c r="A175" s="71" t="n">
        <x:v>44370</x:v>
      </x:c>
      <x:c r="B175" s="72" t="n">
        <x:v>4.25</x:v>
      </x:c>
    </x:row>
    <x:row r="176" s="43" customFormat="1" ht="15" customHeight="1">
      <x:c r="A176" s="69" t="n">
        <x:v>44371</x:v>
      </x:c>
      <x:c r="B176" s="70" t="n">
        <x:v>4.25</x:v>
      </x:c>
    </x:row>
    <x:row r="177" s="43" customFormat="1" ht="15" customHeight="1">
      <x:c r="A177" s="71" t="n">
        <x:v>44372</x:v>
      </x:c>
      <x:c r="B177" s="72" t="n">
        <x:v>4.25</x:v>
      </x:c>
    </x:row>
    <x:row r="178" s="43" customFormat="1" ht="15" customHeight="1">
      <x:c r="A178" s="69" t="n">
        <x:v>44373</x:v>
      </x:c>
      <x:c r="B178" s="70" t="n">
        <x:v>4.25</x:v>
      </x:c>
    </x:row>
    <x:row r="179" s="43" customFormat="1" ht="15" customHeight="1">
      <x:c r="A179" s="71" t="n">
        <x:v>44374</x:v>
      </x:c>
      <x:c r="B179" s="72" t="n">
        <x:v>4.25</x:v>
      </x:c>
    </x:row>
    <x:row r="180" s="43" customFormat="1" ht="15" customHeight="1">
      <x:c r="A180" s="69" t="n">
        <x:v>44375</x:v>
      </x:c>
      <x:c r="B180" s="70" t="n">
        <x:v>4.25</x:v>
      </x:c>
    </x:row>
    <x:row r="181" s="43" customFormat="1" ht="15" customHeight="1">
      <x:c r="A181" s="71" t="n">
        <x:v>44376</x:v>
      </x:c>
      <x:c r="B181" s="72" t="n">
        <x:v>4.25</x:v>
      </x:c>
    </x:row>
    <x:row r="182" s="43" customFormat="1" ht="15" customHeight="1">
      <x:c r="A182" s="69" t="n">
        <x:v>44377</x:v>
      </x:c>
      <x:c r="B182" s="70" t="n">
        <x:v>4.25</x:v>
      </x:c>
    </x:row>
    <x:row r="183" s="43" customFormat="1" ht="15" customHeight="1">
      <x:c r="A183" s="71" t="n">
        <x:v>44378</x:v>
      </x:c>
      <x:c r="B183" s="72" t="n">
        <x:v>4.25</x:v>
      </x:c>
    </x:row>
    <x:row r="184" s="43" customFormat="1" ht="15" customHeight="1">
      <x:c r="A184" s="69" t="n">
        <x:v>44379</x:v>
      </x:c>
      <x:c r="B184" s="70" t="n">
        <x:v>4.25</x:v>
      </x:c>
    </x:row>
    <x:row r="185" s="43" customFormat="1" ht="15" customHeight="1">
      <x:c r="A185" s="71" t="n">
        <x:v>44380</x:v>
      </x:c>
      <x:c r="B185" s="72" t="n">
        <x:v>4.25</x:v>
      </x:c>
    </x:row>
    <x:row r="186" s="43" customFormat="1" ht="15" customHeight="1">
      <x:c r="A186" s="69" t="n">
        <x:v>44381</x:v>
      </x:c>
      <x:c r="B186" s="70" t="n">
        <x:v>4.25</x:v>
      </x:c>
    </x:row>
    <x:row r="187" s="43" customFormat="1" ht="15" customHeight="1">
      <x:c r="A187" s="71" t="n">
        <x:v>44382</x:v>
      </x:c>
      <x:c r="B187" s="72" t="n">
        <x:v>4.25</x:v>
      </x:c>
    </x:row>
    <x:row r="188" s="43" customFormat="1" ht="15" customHeight="1">
      <x:c r="A188" s="69" t="n">
        <x:v>44383</x:v>
      </x:c>
      <x:c r="B188" s="70" t="n">
        <x:v>4.25</x:v>
      </x:c>
    </x:row>
    <x:row r="189" s="43" customFormat="1" ht="15" customHeight="1">
      <x:c r="A189" s="71" t="n">
        <x:v>44384</x:v>
      </x:c>
      <x:c r="B189" s="72" t="n">
        <x:v>4.25</x:v>
      </x:c>
    </x:row>
    <x:row r="190" s="43" customFormat="1" ht="15" customHeight="1">
      <x:c r="A190" s="69" t="n">
        <x:v>44385</x:v>
      </x:c>
      <x:c r="B190" s="70" t="n">
        <x:v>4.25</x:v>
      </x:c>
    </x:row>
    <x:row r="191" s="43" customFormat="1" ht="15" customHeight="1">
      <x:c r="A191" s="71" t="n">
        <x:v>44386</x:v>
      </x:c>
      <x:c r="B191" s="72" t="n">
        <x:v>4.25</x:v>
      </x:c>
    </x:row>
    <x:row r="192" s="43" customFormat="1" ht="15" customHeight="1">
      <x:c r="A192" s="69" t="n">
        <x:v>44387</x:v>
      </x:c>
      <x:c r="B192" s="70" t="n">
        <x:v>4.25</x:v>
      </x:c>
    </x:row>
    <x:row r="193" s="43" customFormat="1" ht="15" customHeight="1">
      <x:c r="A193" s="71" t="n">
        <x:v>44388</x:v>
      </x:c>
      <x:c r="B193" s="72" t="n">
        <x:v>4.25</x:v>
      </x:c>
    </x:row>
    <x:row r="194" s="43" customFormat="1" ht="15" customHeight="1">
      <x:c r="A194" s="69" t="n">
        <x:v>44389</x:v>
      </x:c>
      <x:c r="B194" s="70" t="n">
        <x:v>4.25</x:v>
      </x:c>
    </x:row>
    <x:row r="195" s="43" customFormat="1" ht="15" customHeight="1">
      <x:c r="A195" s="71" t="n">
        <x:v>44390</x:v>
      </x:c>
      <x:c r="B195" s="72" t="n">
        <x:v>4.25</x:v>
      </x:c>
    </x:row>
    <x:row r="196" s="43" customFormat="1" ht="15" customHeight="1">
      <x:c r="A196" s="69" t="n">
        <x:v>44391</x:v>
      </x:c>
      <x:c r="B196" s="70" t="n">
        <x:v>4.25</x:v>
      </x:c>
    </x:row>
    <x:row r="197" s="43" customFormat="1" ht="15" customHeight="1">
      <x:c r="A197" s="71" t="n">
        <x:v>44392</x:v>
      </x:c>
      <x:c r="B197" s="72" t="n">
        <x:v>4.25</x:v>
      </x:c>
    </x:row>
    <x:row r="198" s="43" customFormat="1" ht="15" customHeight="1">
      <x:c r="A198" s="69" t="n">
        <x:v>44393</x:v>
      </x:c>
      <x:c r="B198" s="70" t="n">
        <x:v>4.25</x:v>
      </x:c>
    </x:row>
    <x:row r="199" s="43" customFormat="1" ht="15" customHeight="1">
      <x:c r="A199" s="71" t="n">
        <x:v>44394</x:v>
      </x:c>
      <x:c r="B199" s="72" t="n">
        <x:v>4.25</x:v>
      </x:c>
    </x:row>
    <x:row r="200" s="43" customFormat="1" ht="15" customHeight="1">
      <x:c r="A200" s="69" t="n">
        <x:v>44395</x:v>
      </x:c>
      <x:c r="B200" s="70" t="n">
        <x:v>4.25</x:v>
      </x:c>
    </x:row>
    <x:row r="201" s="43" customFormat="1" ht="15" customHeight="1">
      <x:c r="A201" s="71" t="n">
        <x:v>44396</x:v>
      </x:c>
      <x:c r="B201" s="72" t="n">
        <x:v>4.25</x:v>
      </x:c>
    </x:row>
    <x:row r="202" s="43" customFormat="1" ht="15" customHeight="1">
      <x:c r="A202" s="69" t="n">
        <x:v>44397</x:v>
      </x:c>
      <x:c r="B202" s="70" t="n">
        <x:v>4.25</x:v>
      </x:c>
    </x:row>
    <x:row r="203" s="43" customFormat="1" ht="15" customHeight="1">
      <x:c r="A203" s="71" t="n">
        <x:v>44398</x:v>
      </x:c>
      <x:c r="B203" s="72" t="n">
        <x:v>4.25</x:v>
      </x:c>
    </x:row>
    <x:row r="204" s="43" customFormat="1" ht="15" customHeight="1">
      <x:c r="A204" s="69" t="n">
        <x:v>44399</x:v>
      </x:c>
      <x:c r="B204" s="70" t="n">
        <x:v>4.25</x:v>
      </x:c>
    </x:row>
    <x:row r="205" s="43" customFormat="1" ht="15" customHeight="1">
      <x:c r="A205" s="71" t="n">
        <x:v>44400</x:v>
      </x:c>
      <x:c r="B205" s="72" t="n">
        <x:v>4.25</x:v>
      </x:c>
    </x:row>
    <x:row r="206" s="43" customFormat="1" ht="15" customHeight="1">
      <x:c r="A206" s="69" t="n">
        <x:v>44401</x:v>
      </x:c>
      <x:c r="B206" s="70" t="n">
        <x:v>4.25</x:v>
      </x:c>
    </x:row>
    <x:row r="207" s="43" customFormat="1" ht="15" customHeight="1">
      <x:c r="A207" s="71" t="n">
        <x:v>44402</x:v>
      </x:c>
      <x:c r="B207" s="72" t="n">
        <x:v>4.25</x:v>
      </x:c>
    </x:row>
    <x:row r="208" s="43" customFormat="1" ht="15" customHeight="1">
      <x:c r="A208" s="69" t="n">
        <x:v>44403</x:v>
      </x:c>
      <x:c r="B208" s="70" t="n">
        <x:v>4.25</x:v>
      </x:c>
    </x:row>
    <x:row r="209" s="43" customFormat="1" ht="15" customHeight="1">
      <x:c r="A209" s="71" t="n">
        <x:v>44404</x:v>
      </x:c>
      <x:c r="B209" s="72" t="n">
        <x:v>4.25</x:v>
      </x:c>
    </x:row>
    <x:row r="210" s="43" customFormat="1" ht="15" customHeight="1">
      <x:c r="A210" s="69" t="n">
        <x:v>44405</x:v>
      </x:c>
      <x:c r="B210" s="70" t="n">
        <x:v>4.25</x:v>
      </x:c>
    </x:row>
    <x:row r="211" s="43" customFormat="1" ht="15" customHeight="1">
      <x:c r="A211" s="71" t="n">
        <x:v>44406</x:v>
      </x:c>
      <x:c r="B211" s="72" t="n">
        <x:v>4.25</x:v>
      </x:c>
    </x:row>
    <x:row r="212" s="43" customFormat="1" ht="15" customHeight="1">
      <x:c r="A212" s="69" t="n">
        <x:v>44407</x:v>
      </x:c>
      <x:c r="B212" s="70" t="n">
        <x:v>4.25</x:v>
      </x:c>
    </x:row>
    <x:row r="213" s="43" customFormat="1" ht="15" customHeight="1">
      <x:c r="A213" s="71" t="n">
        <x:v>44408</x:v>
      </x:c>
      <x:c r="B213" s="72" t="n">
        <x:v>4.25</x:v>
      </x:c>
    </x:row>
    <x:row r="214" s="43" customFormat="1" ht="15" customHeight="1">
      <x:c r="A214" s="69" t="n">
        <x:v>44409</x:v>
      </x:c>
      <x:c r="B214" s="70" t="n">
        <x:v>4.25</x:v>
      </x:c>
    </x:row>
    <x:row r="215" s="43" customFormat="1" ht="15" customHeight="1">
      <x:c r="A215" s="71" t="n">
        <x:v>44410</x:v>
      </x:c>
      <x:c r="B215" s="72" t="n">
        <x:v>4.25</x:v>
      </x:c>
    </x:row>
    <x:row r="216" s="43" customFormat="1" ht="15" customHeight="1">
      <x:c r="A216" s="69" t="n">
        <x:v>44411</x:v>
      </x:c>
      <x:c r="B216" s="70" t="n">
        <x:v>4.25</x:v>
      </x:c>
    </x:row>
    <x:row r="217" s="43" customFormat="1" ht="15" customHeight="1">
      <x:c r="A217" s="71" t="n">
        <x:v>44412</x:v>
      </x:c>
      <x:c r="B217" s="72" t="n">
        <x:v>4.25</x:v>
      </x:c>
    </x:row>
    <x:row r="218" s="43" customFormat="1" ht="15" customHeight="1">
      <x:c r="A218" s="69" t="n">
        <x:v>44413</x:v>
      </x:c>
      <x:c r="B218" s="70" t="n">
        <x:v>5.25</x:v>
      </x:c>
    </x:row>
    <x:row r="219" s="43" customFormat="1" ht="15" customHeight="1">
      <x:c r="A219" s="71" t="n">
        <x:v>44414</x:v>
      </x:c>
      <x:c r="B219" s="72" t="n">
        <x:v>5.25</x:v>
      </x:c>
    </x:row>
    <x:row r="220" s="43" customFormat="1" ht="15" customHeight="1">
      <x:c r="A220" s="69" t="n">
        <x:v>44415</x:v>
      </x:c>
      <x:c r="B220" s="70" t="n">
        <x:v>5.25</x:v>
      </x:c>
    </x:row>
    <x:row r="221" s="43" customFormat="1" ht="15" customHeight="1">
      <x:c r="A221" s="71" t="n">
        <x:v>44416</x:v>
      </x:c>
      <x:c r="B221" s="72" t="n">
        <x:v>5.25</x:v>
      </x:c>
    </x:row>
    <x:row r="222" s="43" customFormat="1" ht="15" customHeight="1">
      <x:c r="A222" s="69" t="n">
        <x:v>44417</x:v>
      </x:c>
      <x:c r="B222" s="70" t="n">
        <x:v>5.25</x:v>
      </x:c>
    </x:row>
    <x:row r="223" s="43" customFormat="1" ht="15" customHeight="1">
      <x:c r="A223" s="71" t="n">
        <x:v>44418</x:v>
      </x:c>
      <x:c r="B223" s="72" t="n">
        <x:v>5.25</x:v>
      </x:c>
    </x:row>
    <x:row r="224" s="43" customFormat="1" ht="15" customHeight="1">
      <x:c r="A224" s="69" t="n">
        <x:v>44419</x:v>
      </x:c>
      <x:c r="B224" s="70" t="n">
        <x:v>5.25</x:v>
      </x:c>
    </x:row>
    <x:row r="225" s="43" customFormat="1" ht="15" customHeight="1">
      <x:c r="A225" s="71" t="n">
        <x:v>44420</x:v>
      </x:c>
      <x:c r="B225" s="72" t="n">
        <x:v>5.25</x:v>
      </x:c>
    </x:row>
    <x:row r="226" s="43" customFormat="1" ht="15" customHeight="1">
      <x:c r="A226" s="69" t="n">
        <x:v>44421</x:v>
      </x:c>
      <x:c r="B226" s="70" t="n">
        <x:v>5.25</x:v>
      </x:c>
    </x:row>
    <x:row r="227" s="43" customFormat="1" ht="15" customHeight="1">
      <x:c r="A227" s="71" t="n">
        <x:v>44422</x:v>
      </x:c>
      <x:c r="B227" s="72" t="n">
        <x:v>5.25</x:v>
      </x:c>
    </x:row>
    <x:row r="228" s="43" customFormat="1" ht="15" customHeight="1">
      <x:c r="A228" s="69" t="n">
        <x:v>44423</x:v>
      </x:c>
      <x:c r="B228" s="70" t="n">
        <x:v>5.25</x:v>
      </x:c>
    </x:row>
    <x:row r="229" s="43" customFormat="1" ht="15" customHeight="1">
      <x:c r="A229" s="71" t="n">
        <x:v>44424</x:v>
      </x:c>
      <x:c r="B229" s="72" t="n">
        <x:v>5.25</x:v>
      </x:c>
    </x:row>
    <x:row r="230" s="43" customFormat="1" ht="15" customHeight="1">
      <x:c r="A230" s="69" t="n">
        <x:v>44425</x:v>
      </x:c>
      <x:c r="B230" s="70" t="n">
        <x:v>5.25</x:v>
      </x:c>
    </x:row>
    <x:row r="231" s="43" customFormat="1" ht="15" customHeight="1">
      <x:c r="A231" s="71" t="n">
        <x:v>44426</x:v>
      </x:c>
      <x:c r="B231" s="72" t="n">
        <x:v>5.25</x:v>
      </x:c>
    </x:row>
    <x:row r="232" s="43" customFormat="1" ht="15" customHeight="1">
      <x:c r="A232" s="69" t="n">
        <x:v>44427</x:v>
      </x:c>
      <x:c r="B232" s="70" t="n">
        <x:v>5.25</x:v>
      </x:c>
    </x:row>
    <x:row r="233" s="43" customFormat="1" ht="15" customHeight="1">
      <x:c r="A233" s="71" t="n">
        <x:v>44428</x:v>
      </x:c>
      <x:c r="B233" s="72" t="n">
        <x:v>5.25</x:v>
      </x:c>
    </x:row>
    <x:row r="234" s="43" customFormat="1" ht="15" customHeight="1">
      <x:c r="A234" s="69" t="n">
        <x:v>44429</x:v>
      </x:c>
      <x:c r="B234" s="70" t="n">
        <x:v>5.25</x:v>
      </x:c>
    </x:row>
    <x:row r="235" s="43" customFormat="1" ht="15" customHeight="1">
      <x:c r="A235" s="71" t="n">
        <x:v>44430</x:v>
      </x:c>
      <x:c r="B235" s="72" t="n">
        <x:v>5.25</x:v>
      </x:c>
    </x:row>
    <x:row r="236" s="43" customFormat="1" ht="15" customHeight="1">
      <x:c r="A236" s="69" t="n">
        <x:v>44431</x:v>
      </x:c>
      <x:c r="B236" s="70" t="n">
        <x:v>5.25</x:v>
      </x:c>
    </x:row>
    <x:row r="237" s="43" customFormat="1" ht="15" customHeight="1">
      <x:c r="A237" s="71" t="n">
        <x:v>44432</x:v>
      </x:c>
      <x:c r="B237" s="72" t="n">
        <x:v>5.25</x:v>
      </x:c>
    </x:row>
    <x:row r="238" s="43" customFormat="1" ht="15" customHeight="1">
      <x:c r="A238" s="69" t="n">
        <x:v>44433</x:v>
      </x:c>
      <x:c r="B238" s="70" t="n">
        <x:v>5.25</x:v>
      </x:c>
    </x:row>
    <x:row r="239" s="43" customFormat="1" ht="15" customHeight="1">
      <x:c r="A239" s="71" t="n">
        <x:v>44434</x:v>
      </x:c>
      <x:c r="B239" s="72" t="n">
        <x:v>5.25</x:v>
      </x:c>
    </x:row>
    <x:row r="240" s="43" customFormat="1" ht="15" customHeight="1">
      <x:c r="A240" s="69" t="n">
        <x:v>44435</x:v>
      </x:c>
      <x:c r="B240" s="70" t="n">
        <x:v>5.25</x:v>
      </x:c>
    </x:row>
    <x:row r="241" s="43" customFormat="1" ht="15" customHeight="1">
      <x:c r="A241" s="71" t="n">
        <x:v>44436</x:v>
      </x:c>
      <x:c r="B241" s="72" t="n">
        <x:v>5.25</x:v>
      </x:c>
    </x:row>
    <x:row r="242" s="43" customFormat="1" ht="15" customHeight="1">
      <x:c r="A242" s="69" t="n">
        <x:v>44437</x:v>
      </x:c>
      <x:c r="B242" s="70" t="n">
        <x:v>5.25</x:v>
      </x:c>
    </x:row>
    <x:row r="243" s="43" customFormat="1" ht="15" customHeight="1">
      <x:c r="A243" s="71" t="n">
        <x:v>44438</x:v>
      </x:c>
      <x:c r="B243" s="72" t="n">
        <x:v>5.25</x:v>
      </x:c>
    </x:row>
    <x:row r="244" s="43" customFormat="1" ht="15" customHeight="1">
      <x:c r="A244" s="69" t="n">
        <x:v>44439</x:v>
      </x:c>
      <x:c r="B244" s="70" t="n">
        <x:v>5.25</x:v>
      </x:c>
    </x:row>
    <x:row r="245" s="43" customFormat="1" ht="15" customHeight="1">
      <x:c r="A245" s="71" t="n">
        <x:v>44440</x:v>
      </x:c>
      <x:c r="B245" s="72" t="n">
        <x:v>5.25</x:v>
      </x:c>
    </x:row>
    <x:row r="246" s="43" customFormat="1" ht="15" customHeight="1">
      <x:c r="A246" s="69" t="n">
        <x:v>44441</x:v>
      </x:c>
      <x:c r="B246" s="70" t="n">
        <x:v>5.25</x:v>
      </x:c>
    </x:row>
    <x:row r="247" s="43" customFormat="1" ht="15" customHeight="1">
      <x:c r="A247" s="71" t="n">
        <x:v>44442</x:v>
      </x:c>
      <x:c r="B247" s="72" t="n">
        <x:v>5.25</x:v>
      </x:c>
    </x:row>
    <x:row r="248" s="43" customFormat="1" ht="15" customHeight="1">
      <x:c r="A248" s="69" t="n">
        <x:v>44443</x:v>
      </x:c>
      <x:c r="B248" s="70" t="n">
        <x:v>5.25</x:v>
      </x:c>
    </x:row>
    <x:row r="249" s="43" customFormat="1" ht="15" customHeight="1">
      <x:c r="A249" s="71" t="n">
        <x:v>44444</x:v>
      </x:c>
      <x:c r="B249" s="72" t="n">
        <x:v>5.25</x:v>
      </x:c>
    </x:row>
    <x:row r="250" s="43" customFormat="1" ht="15" customHeight="1">
      <x:c r="A250" s="69" t="n">
        <x:v>44445</x:v>
      </x:c>
      <x:c r="B250" s="70" t="n">
        <x:v>5.25</x:v>
      </x:c>
    </x:row>
    <x:row r="251" s="43" customFormat="1" ht="15" customHeight="1">
      <x:c r="A251" s="71" t="n">
        <x:v>44446</x:v>
      </x:c>
      <x:c r="B251" s="72" t="n">
        <x:v>5.25</x:v>
      </x:c>
    </x:row>
    <x:row r="252" s="43" customFormat="1" ht="15" customHeight="1">
      <x:c r="A252" s="69" t="n">
        <x:v>44447</x:v>
      </x:c>
      <x:c r="B252" s="70" t="n">
        <x:v>5.25</x:v>
      </x:c>
    </x:row>
    <x:row r="253" s="43" customFormat="1" ht="15" customHeight="1">
      <x:c r="A253" s="71" t="n">
        <x:v>44448</x:v>
      </x:c>
      <x:c r="B253" s="72" t="n">
        <x:v>5.25</x:v>
      </x:c>
    </x:row>
    <x:row r="254" s="43" customFormat="1" ht="15" customHeight="1">
      <x:c r="A254" s="69" t="n">
        <x:v>44449</x:v>
      </x:c>
      <x:c r="B254" s="70" t="n">
        <x:v>5.25</x:v>
      </x:c>
    </x:row>
    <x:row r="255" s="43" customFormat="1" ht="15" customHeight="1">
      <x:c r="A255" s="71" t="n">
        <x:v>44450</x:v>
      </x:c>
      <x:c r="B255" s="72" t="n">
        <x:v>5.25</x:v>
      </x:c>
    </x:row>
    <x:row r="256" s="43" customFormat="1" ht="15" customHeight="1">
      <x:c r="A256" s="69" t="n">
        <x:v>44451</x:v>
      </x:c>
      <x:c r="B256" s="70" t="n">
        <x:v>5.25</x:v>
      </x:c>
    </x:row>
    <x:row r="257" s="43" customFormat="1" ht="15" customHeight="1">
      <x:c r="A257" s="71" t="n">
        <x:v>44452</x:v>
      </x:c>
      <x:c r="B257" s="72" t="n">
        <x:v>5.25</x:v>
      </x:c>
    </x:row>
    <x:row r="258" s="43" customFormat="1" ht="15" customHeight="1">
      <x:c r="A258" s="69" t="n">
        <x:v>44453</x:v>
      </x:c>
      <x:c r="B258" s="70" t="n">
        <x:v>5.25</x:v>
      </x:c>
    </x:row>
    <x:row r="259" s="43" customFormat="1" ht="15" customHeight="1">
      <x:c r="A259" s="71" t="n">
        <x:v>44454</x:v>
      </x:c>
      <x:c r="B259" s="72" t="n">
        <x:v>5.25</x:v>
      </x:c>
    </x:row>
    <x:row r="260" s="43" customFormat="1" ht="15" customHeight="1">
      <x:c r="A260" s="69" t="n">
        <x:v>44455</x:v>
      </x:c>
      <x:c r="B260" s="70" t="n">
        <x:v>5.25</x:v>
      </x:c>
    </x:row>
    <x:row r="261" s="43" customFormat="1" ht="15" customHeight="1">
      <x:c r="A261" s="71" t="n">
        <x:v>44456</x:v>
      </x:c>
      <x:c r="B261" s="72" t="n">
        <x:v>5.25</x:v>
      </x:c>
    </x:row>
    <x:row r="262" s="43" customFormat="1" ht="15" customHeight="1">
      <x:c r="A262" s="69" t="n">
        <x:v>44457</x:v>
      </x:c>
      <x:c r="B262" s="70" t="n">
        <x:v>5.25</x:v>
      </x:c>
    </x:row>
    <x:row r="263" s="43" customFormat="1" ht="15" customHeight="1">
      <x:c r="A263" s="71" t="n">
        <x:v>44458</x:v>
      </x:c>
      <x:c r="B263" s="72" t="n">
        <x:v>5.25</x:v>
      </x:c>
    </x:row>
    <x:row r="264" s="43" customFormat="1" ht="15" customHeight="1">
      <x:c r="A264" s="69" t="n">
        <x:v>44459</x:v>
      </x:c>
      <x:c r="B264" s="70" t="n">
        <x:v>5.25</x:v>
      </x:c>
    </x:row>
    <x:row r="265" s="43" customFormat="1" ht="15" customHeight="1">
      <x:c r="A265" s="71" t="n">
        <x:v>44460</x:v>
      </x:c>
      <x:c r="B265" s="72" t="n">
        <x:v>5.25</x:v>
      </x:c>
    </x:row>
    <x:row r="266" s="43" customFormat="1" ht="15" customHeight="1">
      <x:c r="A266" s="69" t="n">
        <x:v>44461</x:v>
      </x:c>
      <x:c r="B266" s="70" t="n">
        <x:v>5.25</x:v>
      </x:c>
    </x:row>
    <x:row r="267" s="43" customFormat="1" ht="15" customHeight="1">
      <x:c r="A267" s="71" t="n">
        <x:v>44462</x:v>
      </x:c>
      <x:c r="B267" s="72" t="n">
        <x:v>6.25</x:v>
      </x:c>
    </x:row>
    <x:row r="268" s="43" customFormat="1" ht="15" customHeight="1">
      <x:c r="A268" s="69" t="n">
        <x:v>44463</x:v>
      </x:c>
      <x:c r="B268" s="70" t="n">
        <x:v>6.25</x:v>
      </x:c>
    </x:row>
    <x:row r="269" s="43" customFormat="1" ht="15" customHeight="1">
      <x:c r="A269" s="71" t="n">
        <x:v>44464</x:v>
      </x:c>
      <x:c r="B269" s="72" t="n">
        <x:v>6.25</x:v>
      </x:c>
    </x:row>
    <x:row r="270" s="43" customFormat="1" ht="15" customHeight="1">
      <x:c r="A270" s="69" t="n">
        <x:v>44465</x:v>
      </x:c>
      <x:c r="B270" s="70" t="n">
        <x:v>6.25</x:v>
      </x:c>
    </x:row>
    <x:row r="271" s="43" customFormat="1" ht="15" customHeight="1">
      <x:c r="A271" s="71" t="n">
        <x:v>44466</x:v>
      </x:c>
      <x:c r="B271" s="72" t="n">
        <x:v>6.25</x:v>
      </x:c>
    </x:row>
    <x:row r="272" s="43" customFormat="1" ht="15" customHeight="1">
      <x:c r="A272" s="69" t="n">
        <x:v>44467</x:v>
      </x:c>
      <x:c r="B272" s="70" t="n">
        <x:v>6.25</x:v>
      </x:c>
    </x:row>
    <x:row r="273" s="43" customFormat="1" ht="15" customHeight="1">
      <x:c r="A273" s="71" t="n">
        <x:v>44468</x:v>
      </x:c>
      <x:c r="B273" s="72" t="n">
        <x:v>6.25</x:v>
      </x:c>
    </x:row>
    <x:row r="274" s="43" customFormat="1" ht="15" customHeight="1">
      <x:c r="A274" s="69" t="n">
        <x:v>44469</x:v>
      </x:c>
      <x:c r="B274" s="70" t="n">
        <x:v>6.25</x:v>
      </x:c>
    </x:row>
    <x:row r="275" s="43" customFormat="1" ht="15" customHeight="1">
      <x:c r="A275" s="71" t="n">
        <x:v>44470</x:v>
      </x:c>
      <x:c r="B275" s="72" t="n">
        <x:v>6.25</x:v>
      </x:c>
    </x:row>
    <x:row r="276" s="43" customFormat="1" ht="15" customHeight="1">
      <x:c r="A276" s="69" t="n">
        <x:v>44471</x:v>
      </x:c>
      <x:c r="B276" s="70" t="n">
        <x:v>6.25</x:v>
      </x:c>
    </x:row>
    <x:row r="277" s="43" customFormat="1" ht="15" customHeight="1">
      <x:c r="A277" s="71" t="n">
        <x:v>44472</x:v>
      </x:c>
      <x:c r="B277" s="72" t="n">
        <x:v>6.25</x:v>
      </x:c>
    </x:row>
    <x:row r="278" s="43" customFormat="1" ht="15" customHeight="1">
      <x:c r="A278" s="69" t="n">
        <x:v>44473</x:v>
      </x:c>
      <x:c r="B278" s="70" t="n">
        <x:v>6.25</x:v>
      </x:c>
    </x:row>
    <x:row r="279" s="43" customFormat="1" ht="15" customHeight="1">
      <x:c r="A279" s="71" t="n">
        <x:v>44474</x:v>
      </x:c>
      <x:c r="B279" s="72" t="n">
        <x:v>6.25</x:v>
      </x:c>
    </x:row>
    <x:row r="280" s="43" customFormat="1" ht="15" customHeight="1">
      <x:c r="A280" s="69" t="n">
        <x:v>44475</x:v>
      </x:c>
      <x:c r="B280" s="70" t="n">
        <x:v>6.25</x:v>
      </x:c>
    </x:row>
    <x:row r="281" s="43" customFormat="1" ht="15" customHeight="1">
      <x:c r="A281" s="71" t="n">
        <x:v>44476</x:v>
      </x:c>
      <x:c r="B281" s="72" t="n">
        <x:v>6.25</x:v>
      </x:c>
    </x:row>
    <x:row r="282" s="43" customFormat="1" ht="15" customHeight="1">
      <x:c r="A282" s="69" t="n">
        <x:v>44477</x:v>
      </x:c>
      <x:c r="B282" s="70" t="n">
        <x:v>6.25</x:v>
      </x:c>
    </x:row>
    <x:row r="283" s="43" customFormat="1" ht="15" customHeight="1">
      <x:c r="A283" s="71" t="n">
        <x:v>44478</x:v>
      </x:c>
      <x:c r="B283" s="72" t="n">
        <x:v>6.25</x:v>
      </x:c>
    </x:row>
    <x:row r="284" s="43" customFormat="1" ht="15" customHeight="1">
      <x:c r="A284" s="69" t="n">
        <x:v>44479</x:v>
      </x:c>
      <x:c r="B284" s="70" t="n">
        <x:v>6.25</x:v>
      </x:c>
    </x:row>
    <x:row r="285" s="43" customFormat="1" ht="15" customHeight="1">
      <x:c r="A285" s="71" t="n">
        <x:v>44480</x:v>
      </x:c>
      <x:c r="B285" s="72" t="n">
        <x:v>6.25</x:v>
      </x:c>
    </x:row>
    <x:row r="286" s="43" customFormat="1" ht="15" customHeight="1">
      <x:c r="A286" s="69" t="n">
        <x:v>44481</x:v>
      </x:c>
      <x:c r="B286" s="70" t="n">
        <x:v>6.25</x:v>
      </x:c>
    </x:row>
    <x:row r="287" s="43" customFormat="1" ht="15" customHeight="1">
      <x:c r="A287" s="71" t="n">
        <x:v>44482</x:v>
      </x:c>
      <x:c r="B287" s="72" t="n">
        <x:v>6.25</x:v>
      </x:c>
    </x:row>
    <x:row r="288" s="43" customFormat="1" ht="15" customHeight="1">
      <x:c r="A288" s="69" t="n">
        <x:v>44483</x:v>
      </x:c>
      <x:c r="B288" s="70" t="n">
        <x:v>6.25</x:v>
      </x:c>
    </x:row>
    <x:row r="289" s="43" customFormat="1" ht="15" customHeight="1">
      <x:c r="A289" s="71" t="n">
        <x:v>44484</x:v>
      </x:c>
      <x:c r="B289" s="72" t="n">
        <x:v>6.25</x:v>
      </x:c>
    </x:row>
    <x:row r="290" s="43" customFormat="1" ht="15" customHeight="1">
      <x:c r="A290" s="69" t="n">
        <x:v>44485</x:v>
      </x:c>
      <x:c r="B290" s="70" t="n">
        <x:v>6.25</x:v>
      </x:c>
    </x:row>
    <x:row r="291" s="43" customFormat="1" ht="15" customHeight="1">
      <x:c r="A291" s="71" t="n">
        <x:v>44486</x:v>
      </x:c>
      <x:c r="B291" s="72" t="n">
        <x:v>6.25</x:v>
      </x:c>
    </x:row>
    <x:row r="292" s="43" customFormat="1" ht="15" customHeight="1">
      <x:c r="A292" s="69" t="n">
        <x:v>44487</x:v>
      </x:c>
      <x:c r="B292" s="70" t="n">
        <x:v>6.25</x:v>
      </x:c>
    </x:row>
    <x:row r="293" s="43" customFormat="1" ht="15" customHeight="1">
      <x:c r="A293" s="71" t="n">
        <x:v>44488</x:v>
      </x:c>
      <x:c r="B293" s="72" t="n">
        <x:v>6.25</x:v>
      </x:c>
    </x:row>
    <x:row r="294" s="43" customFormat="1" ht="15" customHeight="1">
      <x:c r="A294" s="69" t="n">
        <x:v>44489</x:v>
      </x:c>
      <x:c r="B294" s="70" t="n">
        <x:v>6.25</x:v>
      </x:c>
    </x:row>
    <x:row r="295" s="43" customFormat="1" ht="15" customHeight="1">
      <x:c r="A295" s="71" t="n">
        <x:v>44490</x:v>
      </x:c>
      <x:c r="B295" s="72" t="n">
        <x:v>6.25</x:v>
      </x:c>
    </x:row>
    <x:row r="296" s="43" customFormat="1" ht="15" customHeight="1">
      <x:c r="A296" s="69" t="n">
        <x:v>44491</x:v>
      </x:c>
      <x:c r="B296" s="70" t="n">
        <x:v>6.25</x:v>
      </x:c>
    </x:row>
    <x:row r="297" s="43" customFormat="1" ht="15" customHeight="1">
      <x:c r="A297" s="71" t="n">
        <x:v>44492</x:v>
      </x:c>
      <x:c r="B297" s="72" t="n">
        <x:v>6.25</x:v>
      </x:c>
    </x:row>
    <x:row r="298" s="43" customFormat="1" ht="15" customHeight="1">
      <x:c r="A298" s="69" t="n">
        <x:v>44493</x:v>
      </x:c>
      <x:c r="B298" s="70" t="n">
        <x:v>6.25</x:v>
      </x:c>
    </x:row>
    <x:row r="299" s="43" customFormat="1" ht="15" customHeight="1">
      <x:c r="A299" s="71" t="n">
        <x:v>44494</x:v>
      </x:c>
      <x:c r="B299" s="72" t="n">
        <x:v>6.25</x:v>
      </x:c>
    </x:row>
    <x:row r="300" s="43" customFormat="1" ht="15" customHeight="1">
      <x:c r="A300" s="69" t="n">
        <x:v>44495</x:v>
      </x:c>
      <x:c r="B300" s="70" t="n">
        <x:v>6.25</x:v>
      </x:c>
    </x:row>
    <x:row r="301" s="43" customFormat="1" ht="15" customHeight="1">
      <x:c r="A301" s="71" t="n">
        <x:v>44496</x:v>
      </x:c>
      <x:c r="B301" s="72" t="n">
        <x:v>6.25</x:v>
      </x:c>
    </x:row>
    <x:row r="302" s="43" customFormat="1" ht="15" customHeight="1">
      <x:c r="A302" s="69" t="n">
        <x:v>44497</x:v>
      </x:c>
      <x:c r="B302" s="70" t="n">
        <x:v>7.75</x:v>
      </x:c>
    </x:row>
    <x:row r="303" s="43" customFormat="1" ht="15" customHeight="1">
      <x:c r="A303" s="71" t="n">
        <x:v>44498</x:v>
      </x:c>
      <x:c r="B303" s="72" t="n">
        <x:v>7.75</x:v>
      </x:c>
    </x:row>
    <x:row r="304" s="43" customFormat="1" ht="15" customHeight="1">
      <x:c r="A304" s="69" t="n">
        <x:v>44499</x:v>
      </x:c>
      <x:c r="B304" s="70" t="n">
        <x:v>7.75</x:v>
      </x:c>
    </x:row>
    <x:row r="305" s="43" customFormat="1" ht="15" customHeight="1">
      <x:c r="A305" s="71" t="n">
        <x:v>44500</x:v>
      </x:c>
      <x:c r="B305" s="72" t="n">
        <x:v>7.75</x:v>
      </x:c>
    </x:row>
    <x:row r="306" s="43" customFormat="1" ht="15" customHeight="1">
      <x:c r="A306" s="69" t="n">
        <x:v>44501</x:v>
      </x:c>
      <x:c r="B306" s="70" t="n">
        <x:v>7.75</x:v>
      </x:c>
    </x:row>
    <x:row r="307" s="43" customFormat="1" ht="15" customHeight="1">
      <x:c r="A307" s="71" t="n">
        <x:v>44502</x:v>
      </x:c>
      <x:c r="B307" s="72" t="n">
        <x:v>7.75</x:v>
      </x:c>
    </x:row>
    <x:row r="308" s="43" customFormat="1" ht="15" customHeight="1">
      <x:c r="A308" s="69" t="n">
        <x:v>44503</x:v>
      </x:c>
      <x:c r="B308" s="70" t="n">
        <x:v>7.75</x:v>
      </x:c>
    </x:row>
    <x:row r="309" s="43" customFormat="1" ht="15" customHeight="1">
      <x:c r="A309" s="71" t="n">
        <x:v>44504</x:v>
      </x:c>
      <x:c r="B309" s="72" t="n">
        <x:v>7.75</x:v>
      </x:c>
    </x:row>
    <x:row r="310" s="43" customFormat="1" ht="15" customHeight="1">
      <x:c r="A310" s="69" t="n">
        <x:v>44505</x:v>
      </x:c>
      <x:c r="B310" s="70" t="n">
        <x:v>7.75</x:v>
      </x:c>
    </x:row>
    <x:row r="311" s="43" customFormat="1" ht="15" customHeight="1">
      <x:c r="A311" s="71" t="n">
        <x:v>44506</x:v>
      </x:c>
      <x:c r="B311" s="72" t="n">
        <x:v>7.75</x:v>
      </x:c>
    </x:row>
    <x:row r="312" s="43" customFormat="1" ht="15" customHeight="1">
      <x:c r="A312" s="69" t="n">
        <x:v>44507</x:v>
      </x:c>
      <x:c r="B312" s="70" t="n">
        <x:v>7.75</x:v>
      </x:c>
    </x:row>
    <x:row r="313" s="43" customFormat="1" ht="15" customHeight="1">
      <x:c r="A313" s="71" t="n">
        <x:v>44508</x:v>
      </x:c>
      <x:c r="B313" s="72" t="n">
        <x:v>7.75</x:v>
      </x:c>
    </x:row>
    <x:row r="314" s="43" customFormat="1" ht="15" customHeight="1">
      <x:c r="A314" s="69" t="n">
        <x:v>44509</x:v>
      </x:c>
      <x:c r="B314" s="70" t="n">
        <x:v>7.75</x:v>
      </x:c>
    </x:row>
    <x:row r="315" s="43" customFormat="1" ht="15" customHeight="1">
      <x:c r="A315" s="71" t="n">
        <x:v>44510</x:v>
      </x:c>
      <x:c r="B315" s="72" t="n">
        <x:v>7.75</x:v>
      </x:c>
    </x:row>
    <x:row r="316" s="43" customFormat="1" ht="15" customHeight="1">
      <x:c r="A316" s="69" t="n">
        <x:v>44511</x:v>
      </x:c>
      <x:c r="B316" s="70" t="n">
        <x:v>7.75</x:v>
      </x:c>
    </x:row>
    <x:row r="317" s="43" customFormat="1" ht="15" customHeight="1">
      <x:c r="A317" s="71" t="n">
        <x:v>44512</x:v>
      </x:c>
      <x:c r="B317" s="72" t="n">
        <x:v>7.75</x:v>
      </x:c>
    </x:row>
    <x:row r="318" s="43" customFormat="1" ht="15" customHeight="1">
      <x:c r="A318" s="69" t="n">
        <x:v>44513</x:v>
      </x:c>
      <x:c r="B318" s="70" t="n">
        <x:v>7.75</x:v>
      </x:c>
    </x:row>
    <x:row r="319" s="43" customFormat="1" ht="15" customHeight="1">
      <x:c r="A319" s="71" t="n">
        <x:v>44514</x:v>
      </x:c>
      <x:c r="B319" s="72" t="n">
        <x:v>7.75</x:v>
      </x:c>
    </x:row>
    <x:row r="320" s="43" customFormat="1" ht="15" customHeight="1">
      <x:c r="A320" s="69" t="n">
        <x:v>44515</x:v>
      </x:c>
      <x:c r="B320" s="70" t="n">
        <x:v>7.75</x:v>
      </x:c>
    </x:row>
    <x:row r="321" s="43" customFormat="1" ht="15" customHeight="1">
      <x:c r="A321" s="71" t="n">
        <x:v>44516</x:v>
      </x:c>
      <x:c r="B321" s="72" t="n">
        <x:v>7.75</x:v>
      </x:c>
    </x:row>
    <x:row r="322" s="43" customFormat="1" ht="15" customHeight="1">
      <x:c r="A322" s="69" t="n">
        <x:v>44517</x:v>
      </x:c>
      <x:c r="B322" s="70" t="n">
        <x:v>7.75</x:v>
      </x:c>
    </x:row>
    <x:row r="323" s="43" customFormat="1" ht="15" customHeight="1">
      <x:c r="A323" s="71" t="n">
        <x:v>44518</x:v>
      </x:c>
      <x:c r="B323" s="72" t="n">
        <x:v>7.75</x:v>
      </x:c>
    </x:row>
    <x:row r="324" s="43" customFormat="1" ht="15" customHeight="1">
      <x:c r="A324" s="69" t="n">
        <x:v>44519</x:v>
      </x:c>
      <x:c r="B324" s="70" t="n">
        <x:v>7.75</x:v>
      </x:c>
    </x:row>
    <x:row r="325" s="43" customFormat="1" ht="15" customHeight="1">
      <x:c r="A325" s="71" t="n">
        <x:v>44520</x:v>
      </x:c>
      <x:c r="B325" s="72" t="n">
        <x:v>7.75</x:v>
      </x:c>
    </x:row>
    <x:row r="326" s="43" customFormat="1" ht="15" customHeight="1">
      <x:c r="A326" s="69" t="n">
        <x:v>44521</x:v>
      </x:c>
      <x:c r="B326" s="70" t="n">
        <x:v>7.75</x:v>
      </x:c>
    </x:row>
    <x:row r="327" s="43" customFormat="1" ht="15" customHeight="1">
      <x:c r="A327" s="71" t="n">
        <x:v>44522</x:v>
      </x:c>
      <x:c r="B327" s="72" t="n">
        <x:v>7.75</x:v>
      </x:c>
    </x:row>
    <x:row r="328" s="43" customFormat="1" ht="15" customHeight="1">
      <x:c r="A328" s="69" t="n">
        <x:v>44523</x:v>
      </x:c>
      <x:c r="B328" s="70" t="n">
        <x:v>7.75</x:v>
      </x:c>
    </x:row>
    <x:row r="329" s="43" customFormat="1" ht="15" customHeight="1">
      <x:c r="A329" s="71" t="n">
        <x:v>44524</x:v>
      </x:c>
      <x:c r="B329" s="72" t="n">
        <x:v>7.75</x:v>
      </x:c>
    </x:row>
    <x:row r="330" s="43" customFormat="1" ht="15" customHeight="1">
      <x:c r="A330" s="69" t="n">
        <x:v>44525</x:v>
      </x:c>
      <x:c r="B330" s="70" t="n">
        <x:v>7.75</x:v>
      </x:c>
    </x:row>
    <x:row r="331" s="43" customFormat="1" ht="15" customHeight="1">
      <x:c r="A331" s="71" t="n">
        <x:v>44526</x:v>
      </x:c>
      <x:c r="B331" s="72" t="n">
        <x:v>7.75</x:v>
      </x:c>
    </x:row>
    <x:row r="332" s="43" customFormat="1" ht="15" customHeight="1">
      <x:c r="A332" s="69" t="n">
        <x:v>44527</x:v>
      </x:c>
      <x:c r="B332" s="70" t="n">
        <x:v>7.75</x:v>
      </x:c>
    </x:row>
    <x:row r="333" s="43" customFormat="1" ht="15" customHeight="1">
      <x:c r="A333" s="71" t="n">
        <x:v>44528</x:v>
      </x:c>
      <x:c r="B333" s="72" t="n">
        <x:v>7.75</x:v>
      </x:c>
    </x:row>
    <x:row r="334" s="43" customFormat="1" ht="15" customHeight="1">
      <x:c r="A334" s="69" t="n">
        <x:v>44529</x:v>
      </x:c>
      <x:c r="B334" s="70" t="n">
        <x:v>7.75</x:v>
      </x:c>
    </x:row>
    <x:row r="335" s="43" customFormat="1" ht="15" customHeight="1">
      <x:c r="A335" s="71" t="n">
        <x:v>44530</x:v>
      </x:c>
      <x:c r="B335" s="72" t="n">
        <x:v>7.75</x:v>
      </x:c>
    </x:row>
    <x:row r="336" s="43" customFormat="1" ht="15" customHeight="1">
      <x:c r="A336" s="69" t="n">
        <x:v>44531</x:v>
      </x:c>
      <x:c r="B336" s="70" t="n">
        <x:v>7.75</x:v>
      </x:c>
    </x:row>
    <x:row r="337" s="43" customFormat="1" ht="15" customHeight="1">
      <x:c r="A337" s="71" t="n">
        <x:v>44532</x:v>
      </x:c>
      <x:c r="B337" s="72" t="n">
        <x:v>7.75</x:v>
      </x:c>
    </x:row>
    <x:row r="338" s="43" customFormat="1" ht="15" customHeight="1">
      <x:c r="A338" s="69" t="n">
        <x:v>44533</x:v>
      </x:c>
      <x:c r="B338" s="70" t="n">
        <x:v>7.75</x:v>
      </x:c>
    </x:row>
    <x:row r="339" s="43" customFormat="1" ht="15" customHeight="1">
      <x:c r="A339" s="71" t="n">
        <x:v>44534</x:v>
      </x:c>
      <x:c r="B339" s="72" t="n">
        <x:v>7.75</x:v>
      </x:c>
    </x:row>
    <x:row r="340" s="43" customFormat="1" ht="15" customHeight="1">
      <x:c r="A340" s="69" t="n">
        <x:v>44535</x:v>
      </x:c>
      <x:c r="B340" s="70" t="n">
        <x:v>7.75</x:v>
      </x:c>
    </x:row>
    <x:row r="341" s="43" customFormat="1" ht="15" customHeight="1">
      <x:c r="A341" s="71" t="n">
        <x:v>44536</x:v>
      </x:c>
      <x:c r="B341" s="72" t="n">
        <x:v>7.75</x:v>
      </x:c>
    </x:row>
    <x:row r="342" s="43" customFormat="1" ht="15" customHeight="1">
      <x:c r="A342" s="69" t="n">
        <x:v>44537</x:v>
      </x:c>
      <x:c r="B342" s="70" t="n">
        <x:v>7.75</x:v>
      </x:c>
    </x:row>
    <x:row r="343" s="43" customFormat="1" ht="15" customHeight="1">
      <x:c r="A343" s="71" t="n">
        <x:v>44538</x:v>
      </x:c>
      <x:c r="B343" s="72" t="n">
        <x:v>7.75</x:v>
      </x:c>
    </x:row>
    <x:row r="344" s="43" customFormat="1" ht="15" customHeight="1">
      <x:c r="A344" s="69" t="n">
        <x:v>44539</x:v>
      </x:c>
      <x:c r="B344" s="70" t="n">
        <x:v>9.25</x:v>
      </x:c>
    </x:row>
    <x:row r="345" s="43" customFormat="1" ht="15" customHeight="1">
      <x:c r="A345" s="71" t="n">
        <x:v>44540</x:v>
      </x:c>
      <x:c r="B345" s="72" t="n">
        <x:v>9.25</x:v>
      </x:c>
    </x:row>
    <x:row r="346" s="43" customFormat="1" ht="15" customHeight="1">
      <x:c r="A346" s="69" t="n">
        <x:v>44541</x:v>
      </x:c>
      <x:c r="B346" s="70" t="n">
        <x:v>9.25</x:v>
      </x:c>
    </x:row>
    <x:row r="347" s="43" customFormat="1" ht="15" customHeight="1">
      <x:c r="A347" s="71" t="n">
        <x:v>44542</x:v>
      </x:c>
      <x:c r="B347" s="72" t="n">
        <x:v>9.25</x:v>
      </x:c>
    </x:row>
    <x:row r="348" s="43" customFormat="1" ht="15" customHeight="1">
      <x:c r="A348" s="69" t="n">
        <x:v>44543</x:v>
      </x:c>
      <x:c r="B348" s="70" t="n">
        <x:v>9.25</x:v>
      </x:c>
    </x:row>
    <x:row r="349" s="43" customFormat="1" ht="15" customHeight="1">
      <x:c r="A349" s="71" t="n">
        <x:v>44544</x:v>
      </x:c>
      <x:c r="B349" s="72" t="n">
        <x:v>9.25</x:v>
      </x:c>
    </x:row>
    <x:row r="350" s="43" customFormat="1" ht="15" customHeight="1">
      <x:c r="A350" s="69" t="n">
        <x:v>44545</x:v>
      </x:c>
      <x:c r="B350" s="70" t="n">
        <x:v>9.25</x:v>
      </x:c>
    </x:row>
    <x:row r="351" s="43" customFormat="1" ht="15" customHeight="1">
      <x:c r="A351" s="71" t="n">
        <x:v>44546</x:v>
      </x:c>
      <x:c r="B351" s="72" t="n">
        <x:v>9.25</x:v>
      </x:c>
    </x:row>
    <x:row r="352" s="43" customFormat="1" ht="15" customHeight="1">
      <x:c r="A352" s="69" t="n">
        <x:v>44547</x:v>
      </x:c>
      <x:c r="B352" s="70" t="n">
        <x:v>9.25</x:v>
      </x:c>
    </x:row>
    <x:row r="353" s="43" customFormat="1" ht="15" customHeight="1">
      <x:c r="A353" s="71" t="n">
        <x:v>44548</x:v>
      </x:c>
      <x:c r="B353" s="72" t="n">
        <x:v>9.25</x:v>
      </x:c>
    </x:row>
    <x:row r="354" s="43" customFormat="1" ht="15" customHeight="1">
      <x:c r="A354" s="69" t="n">
        <x:v>44549</x:v>
      </x:c>
      <x:c r="B354" s="70" t="n">
        <x:v>9.25</x:v>
      </x:c>
    </x:row>
    <x:row r="355" s="43" customFormat="1" ht="15" customHeight="1">
      <x:c r="A355" s="71" t="n">
        <x:v>44550</x:v>
      </x:c>
      <x:c r="B355" s="72" t="n">
        <x:v>9.25</x:v>
      </x:c>
    </x:row>
    <x:row r="356" s="43" customFormat="1" ht="15" customHeight="1">
      <x:c r="A356" s="69" t="n">
        <x:v>44551</x:v>
      </x:c>
      <x:c r="B356" s="70" t="n">
        <x:v>9.25</x:v>
      </x:c>
    </x:row>
    <x:row r="357" s="43" customFormat="1" ht="15" customHeight="1">
      <x:c r="A357" s="71" t="n">
        <x:v>44552</x:v>
      </x:c>
      <x:c r="B357" s="72" t="n">
        <x:v>9.25</x:v>
      </x:c>
    </x:row>
    <x:row r="358" s="43" customFormat="1" ht="15" customHeight="1">
      <x:c r="A358" s="69" t="n">
        <x:v>44553</x:v>
      </x:c>
      <x:c r="B358" s="70" t="n">
        <x:v>9.25</x:v>
      </x:c>
    </x:row>
    <x:row r="359" s="43" customFormat="1" ht="15" customHeight="1">
      <x:c r="A359" s="71" t="n">
        <x:v>44554</x:v>
      </x:c>
      <x:c r="B359" s="72" t="n">
        <x:v>9.25</x:v>
      </x:c>
    </x:row>
    <x:row r="360" s="43" customFormat="1" ht="15" customHeight="1">
      <x:c r="A360" s="69" t="n">
        <x:v>44555</x:v>
      </x:c>
      <x:c r="B360" s="70" t="n">
        <x:v>9.25</x:v>
      </x:c>
    </x:row>
    <x:row r="361" s="43" customFormat="1" ht="15" customHeight="1">
      <x:c r="A361" s="71" t="n">
        <x:v>44556</x:v>
      </x:c>
      <x:c r="B361" s="72" t="n">
        <x:v>9.25</x:v>
      </x:c>
    </x:row>
    <x:row r="362" s="43" customFormat="1" ht="15" customHeight="1">
      <x:c r="A362" s="69" t="n">
        <x:v>44557</x:v>
      </x:c>
      <x:c r="B362" s="70" t="n">
        <x:v>9.25</x:v>
      </x:c>
    </x:row>
    <x:row r="363" s="43" customFormat="1" ht="15" customHeight="1">
      <x:c r="A363" s="71" t="n">
        <x:v>44558</x:v>
      </x:c>
      <x:c r="B363" s="72" t="n">
        <x:v>9.25</x:v>
      </x:c>
    </x:row>
    <x:row r="364" s="43" customFormat="1" ht="15" customHeight="1">
      <x:c r="A364" s="69" t="n">
        <x:v>44559</x:v>
      </x:c>
      <x:c r="B364" s="70" t="n">
        <x:v>9.25</x:v>
      </x:c>
    </x:row>
    <x:row r="365" s="43" customFormat="1" ht="15" customHeight="1">
      <x:c r="A365" s="71" t="n">
        <x:v>44560</x:v>
      </x:c>
      <x:c r="B365" s="72" t="n">
        <x:v>9.25</x:v>
      </x:c>
    </x:row>
    <x:row r="366" s="43" customFormat="1" ht="15" customHeight="1">
      <x:c r="A366" s="69" t="n">
        <x:v>44561</x:v>
      </x:c>
      <x:c r="B366" s="70" t="n">
        <x:v>9.25</x:v>
      </x:c>
    </x:row>
    <x:row r="367" s="43" customFormat="1" ht="15" customHeight="1">
      <x:c r="A367" s="71" t="n">
        <x:v>44562</x:v>
      </x:c>
      <x:c r="B367" s="72" t="n">
        <x:v>9.25</x:v>
      </x:c>
    </x:row>
    <x:row r="368" s="43" customFormat="1" ht="15" customHeight="1">
      <x:c r="A368" s="69" t="n">
        <x:v>44563</x:v>
      </x:c>
      <x:c r="B368" s="70" t="n">
        <x:v>9.25</x:v>
      </x:c>
    </x:row>
    <x:row r="369" s="43" customFormat="1" ht="15" customHeight="1">
      <x:c r="A369" s="71" t="n">
        <x:v>44564</x:v>
      </x:c>
      <x:c r="B369" s="72" t="n">
        <x:v>9.25</x:v>
      </x:c>
    </x:row>
    <x:row r="370" s="43" customFormat="1" ht="15" customHeight="1">
      <x:c r="A370" s="69" t="n">
        <x:v>44565</x:v>
      </x:c>
      <x:c r="B370" s="70" t="n">
        <x:v>9.25</x:v>
      </x:c>
    </x:row>
    <x:row r="371" s="43" customFormat="1" ht="15" customHeight="1">
      <x:c r="A371" s="71" t="n">
        <x:v>44566</x:v>
      </x:c>
      <x:c r="B371" s="72" t="n">
        <x:v>9.25</x:v>
      </x:c>
    </x:row>
    <x:row r="372" s="43" customFormat="1" ht="15" customHeight="1">
      <x:c r="A372" s="69" t="n">
        <x:v>44567</x:v>
      </x:c>
      <x:c r="B372" s="70" t="n">
        <x:v>9.25</x:v>
      </x:c>
    </x:row>
    <x:row r="373" s="43" customFormat="1" ht="15" customHeight="1">
      <x:c r="A373" s="71" t="n">
        <x:v>44568</x:v>
      </x:c>
      <x:c r="B373" s="72" t="n">
        <x:v>9.25</x:v>
      </x:c>
    </x:row>
    <x:row r="374" s="43" customFormat="1" ht="15" customHeight="1">
      <x:c r="A374" s="69" t="n">
        <x:v>44569</x:v>
      </x:c>
      <x:c r="B374" s="70" t="n">
        <x:v>9.25</x:v>
      </x:c>
    </x:row>
    <x:row r="375" s="43" customFormat="1" ht="15" customHeight="1">
      <x:c r="A375" s="71" t="n">
        <x:v>44570</x:v>
      </x:c>
      <x:c r="B375" s="72" t="n">
        <x:v>9.25</x:v>
      </x:c>
    </x:row>
    <x:row r="376" s="43" customFormat="1" ht="15" customHeight="1">
      <x:c r="A376" s="69" t="n">
        <x:v>44571</x:v>
      </x:c>
      <x:c r="B376" s="70" t="n">
        <x:v>9.25</x:v>
      </x:c>
    </x:row>
    <x:row r="377" s="43" customFormat="1" ht="15" customHeight="1">
      <x:c r="A377" s="71" t="n">
        <x:v>44572</x:v>
      </x:c>
      <x:c r="B377" s="72" t="n">
        <x:v>9.25</x:v>
      </x:c>
    </x:row>
    <x:row r="378" s="43" customFormat="1" ht="15" customHeight="1">
      <x:c r="A378" s="69" t="n">
        <x:v>44573</x:v>
      </x:c>
      <x:c r="B378" s="70" t="n">
        <x:v>9.25</x:v>
      </x:c>
    </x:row>
    <x:row r="379" s="43" customFormat="1" ht="15" customHeight="1">
      <x:c r="A379" s="71" t="n">
        <x:v>44574</x:v>
      </x:c>
      <x:c r="B379" s="72" t="n">
        <x:v>9.25</x:v>
      </x:c>
    </x:row>
    <x:row r="380" s="43" customFormat="1" ht="15" customHeight="1">
      <x:c r="A380" s="69" t="n">
        <x:v>44575</x:v>
      </x:c>
      <x:c r="B380" s="70" t="n">
        <x:v>9.25</x:v>
      </x:c>
    </x:row>
    <x:row r="381" s="43" customFormat="1" ht="15" customHeight="1">
      <x:c r="A381" s="71" t="n">
        <x:v>44576</x:v>
      </x:c>
      <x:c r="B381" s="72" t="n">
        <x:v>9.25</x:v>
      </x:c>
    </x:row>
    <x:row r="382" s="43" customFormat="1" ht="15" customHeight="1">
      <x:c r="A382" s="69" t="n">
        <x:v>44577</x:v>
      </x:c>
      <x:c r="B382" s="70" t="n">
        <x:v>9.25</x:v>
      </x:c>
    </x:row>
    <x:row r="383" s="43" customFormat="1" ht="15" customHeight="1">
      <x:c r="A383" s="71" t="n">
        <x:v>44578</x:v>
      </x:c>
      <x:c r="B383" s="72" t="n">
        <x:v>9.25</x:v>
      </x:c>
    </x:row>
    <x:row r="384" s="43" customFormat="1" ht="15" customHeight="1">
      <x:c r="A384" s="69" t="n">
        <x:v>44579</x:v>
      </x:c>
      <x:c r="B384" s="70" t="n">
        <x:v>9.25</x:v>
      </x:c>
    </x:row>
    <x:row r="385" s="43" customFormat="1" ht="15" customHeight="1">
      <x:c r="A385" s="71" t="n">
        <x:v>44580</x:v>
      </x:c>
      <x:c r="B385" s="72" t="n">
        <x:v>9.25</x:v>
      </x:c>
    </x:row>
    <x:row r="386" s="43" customFormat="1" ht="15" customHeight="1">
      <x:c r="A386" s="69" t="n">
        <x:v>44581</x:v>
      </x:c>
      <x:c r="B386" s="70" t="n">
        <x:v>9.25</x:v>
      </x:c>
    </x:row>
    <x:row r="387" s="43" customFormat="1" ht="15" customHeight="1">
      <x:c r="A387" s="71" t="n">
        <x:v>44582</x:v>
      </x:c>
      <x:c r="B387" s="72" t="n">
        <x:v>9.25</x:v>
      </x:c>
    </x:row>
    <x:row r="388" s="43" customFormat="1" ht="15" customHeight="1">
      <x:c r="A388" s="69" t="n">
        <x:v>44583</x:v>
      </x:c>
      <x:c r="B388" s="70" t="n">
        <x:v>9.25</x:v>
      </x:c>
    </x:row>
    <x:row r="389" s="43" customFormat="1" ht="15" customHeight="1">
      <x:c r="A389" s="71" t="n">
        <x:v>44584</x:v>
      </x:c>
      <x:c r="B389" s="72" t="n">
        <x:v>9.25</x:v>
      </x:c>
    </x:row>
    <x:row r="390" s="43" customFormat="1" ht="15" customHeight="1">
      <x:c r="A390" s="69" t="n">
        <x:v>44585</x:v>
      </x:c>
      <x:c r="B390" s="70" t="n">
        <x:v>9.25</x:v>
      </x:c>
    </x:row>
    <x:row r="391" s="43" customFormat="1" ht="15" customHeight="1">
      <x:c r="A391" s="71" t="n">
        <x:v>44586</x:v>
      </x:c>
      <x:c r="B391" s="72" t="n">
        <x:v>9.25</x:v>
      </x:c>
    </x:row>
    <x:row r="392" s="43" customFormat="1" ht="15" customHeight="1">
      <x:c r="A392" s="69" t="n">
        <x:v>44587</x:v>
      </x:c>
      <x:c r="B392" s="70" t="n">
        <x:v>9.25</x:v>
      </x:c>
    </x:row>
    <x:row r="393" s="43" customFormat="1" ht="15" customHeight="1">
      <x:c r="A393" s="71" t="n">
        <x:v>44588</x:v>
      </x:c>
      <x:c r="B393" s="72" t="n">
        <x:v>9.25</x:v>
      </x:c>
    </x:row>
    <x:row r="394" s="43" customFormat="1" ht="15" customHeight="1">
      <x:c r="A394" s="69" t="n">
        <x:v>44589</x:v>
      </x:c>
      <x:c r="B394" s="70" t="n">
        <x:v>9.25</x:v>
      </x:c>
    </x:row>
    <x:row r="395" s="43" customFormat="1" ht="15" customHeight="1">
      <x:c r="A395" s="71" t="n">
        <x:v>44590</x:v>
      </x:c>
      <x:c r="B395" s="72" t="n">
        <x:v>9.25</x:v>
      </x:c>
    </x:row>
    <x:row r="396" s="43" customFormat="1" ht="15" customHeight="1">
      <x:c r="A396" s="69" t="n">
        <x:v>44591</x:v>
      </x:c>
      <x:c r="B396" s="70" t="n">
        <x:v>9.25</x:v>
      </x:c>
    </x:row>
    <x:row r="397" s="43" customFormat="1" ht="15" customHeight="1">
      <x:c r="A397" s="71" t="n">
        <x:v>44592</x:v>
      </x:c>
      <x:c r="B397" s="72" t="n">
        <x:v>9.25</x:v>
      </x:c>
    </x:row>
    <x:row r="398" s="43" customFormat="1" ht="15" customHeight="1">
      <x:c r="A398" s="69" t="n">
        <x:v>44593</x:v>
      </x:c>
      <x:c r="B398" s="70" t="n">
        <x:v>9.25</x:v>
      </x:c>
    </x:row>
    <x:row r="399" s="43" customFormat="1" ht="15" customHeight="1">
      <x:c r="A399" s="71" t="n">
        <x:v>44594</x:v>
      </x:c>
      <x:c r="B399" s="72" t="n">
        <x:v>9.25</x:v>
      </x:c>
    </x:row>
    <x:row r="400" s="43" customFormat="1" ht="15" customHeight="1">
      <x:c r="A400" s="69" t="n">
        <x:v>44595</x:v>
      </x:c>
      <x:c r="B400" s="70" t="n">
        <x:v>10.75</x:v>
      </x:c>
    </x:row>
    <x:row r="401" s="43" customFormat="1" ht="15" customHeight="1">
      <x:c r="A401" s="71" t="n">
        <x:v>44596</x:v>
      </x:c>
      <x:c r="B401" s="72" t="n">
        <x:v>10.75</x:v>
      </x:c>
    </x:row>
    <x:row r="402" s="43" customFormat="1" ht="15" customHeight="1">
      <x:c r="A402" s="69" t="n">
        <x:v>44597</x:v>
      </x:c>
      <x:c r="B402" s="70" t="n">
        <x:v>10.75</x:v>
      </x:c>
    </x:row>
    <x:row r="403" s="43" customFormat="1" ht="15" customHeight="1">
      <x:c r="A403" s="71" t="n">
        <x:v>44598</x:v>
      </x:c>
      <x:c r="B403" s="72" t="n">
        <x:v>10.75</x:v>
      </x:c>
    </x:row>
    <x:row r="404" s="43" customFormat="1" ht="15" customHeight="1">
      <x:c r="A404" s="69" t="n">
        <x:v>44599</x:v>
      </x:c>
      <x:c r="B404" s="70" t="n">
        <x:v>10.75</x:v>
      </x:c>
    </x:row>
    <x:row r="405" s="43" customFormat="1" ht="15" customHeight="1">
      <x:c r="A405" s="71" t="n">
        <x:v>44600</x:v>
      </x:c>
      <x:c r="B405" s="72" t="n">
        <x:v>10.75</x:v>
      </x:c>
    </x:row>
    <x:row r="406" s="43" customFormat="1" ht="15" customHeight="1">
      <x:c r="A406" s="69" t="n">
        <x:v>44601</x:v>
      </x:c>
      <x:c r="B406" s="70" t="n">
        <x:v>10.75</x:v>
      </x:c>
    </x:row>
    <x:row r="407" s="43" customFormat="1" ht="15" customHeight="1">
      <x:c r="A407" s="71" t="n">
        <x:v>44602</x:v>
      </x:c>
      <x:c r="B407" s="72" t="n">
        <x:v>10.75</x:v>
      </x:c>
    </x:row>
    <x:row r="408" s="43" customFormat="1" ht="15" customHeight="1">
      <x:c r="A408" s="69" t="n">
        <x:v>44603</x:v>
      </x:c>
      <x:c r="B408" s="70" t="n">
        <x:v>10.75</x:v>
      </x:c>
    </x:row>
    <x:row r="409" s="43" customFormat="1" ht="15" customHeight="1">
      <x:c r="A409" s="71" t="n">
        <x:v>44604</x:v>
      </x:c>
      <x:c r="B409" s="72" t="n">
        <x:v>10.75</x:v>
      </x:c>
    </x:row>
    <x:row r="410" s="43" customFormat="1" ht="15" customHeight="1">
      <x:c r="A410" s="69" t="n">
        <x:v>44605</x:v>
      </x:c>
      <x:c r="B410" s="70" t="n">
        <x:v>10.75</x:v>
      </x:c>
    </x:row>
    <x:row r="411" s="43" customFormat="1" ht="15" customHeight="1">
      <x:c r="A411" s="71" t="n">
        <x:v>44606</x:v>
      </x:c>
      <x:c r="B411" s="72" t="n">
        <x:v>10.75</x:v>
      </x:c>
    </x:row>
    <x:row r="412" s="43" customFormat="1" ht="15" customHeight="1">
      <x:c r="A412" s="69" t="n">
        <x:v>44607</x:v>
      </x:c>
      <x:c r="B412" s="70" t="n">
        <x:v>10.75</x:v>
      </x:c>
    </x:row>
    <x:row r="413" s="43" customFormat="1" ht="15" customHeight="1">
      <x:c r="A413" s="71" t="n">
        <x:v>44608</x:v>
      </x:c>
      <x:c r="B413" s="72" t="n">
        <x:v>10.75</x:v>
      </x:c>
    </x:row>
    <x:row r="414" s="43" customFormat="1" ht="15" customHeight="1">
      <x:c r="A414" s="69" t="n">
        <x:v>44609</x:v>
      </x:c>
      <x:c r="B414" s="70" t="n">
        <x:v>10.75</x:v>
      </x:c>
    </x:row>
    <x:row r="415" s="43" customFormat="1" ht="15" customHeight="1">
      <x:c r="A415" s="71" t="n">
        <x:v>44610</x:v>
      </x:c>
      <x:c r="B415" s="72" t="n">
        <x:v>10.75</x:v>
      </x:c>
    </x:row>
    <x:row r="416" s="43" customFormat="1" ht="15" customHeight="1">
      <x:c r="A416" s="69" t="n">
        <x:v>44611</x:v>
      </x:c>
      <x:c r="B416" s="70" t="n">
        <x:v>10.75</x:v>
      </x:c>
    </x:row>
    <x:row r="417" s="43" customFormat="1" ht="15" customHeight="1">
      <x:c r="A417" s="71" t="n">
        <x:v>44612</x:v>
      </x:c>
      <x:c r="B417" s="72" t="n">
        <x:v>10.75</x:v>
      </x:c>
    </x:row>
    <x:row r="418" s="43" customFormat="1" ht="15" customHeight="1">
      <x:c r="A418" s="69" t="n">
        <x:v>44613</x:v>
      </x:c>
      <x:c r="B418" s="70" t="n">
        <x:v>10.75</x:v>
      </x:c>
    </x:row>
    <x:row r="419" s="43" customFormat="1" ht="15" customHeight="1">
      <x:c r="A419" s="71" t="n">
        <x:v>44614</x:v>
      </x:c>
      <x:c r="B419" s="72" t="n">
        <x:v>10.75</x:v>
      </x:c>
    </x:row>
    <x:row r="420" s="43" customFormat="1" ht="15" customHeight="1">
      <x:c r="A420" s="69" t="n">
        <x:v>44615</x:v>
      </x:c>
      <x:c r="B420" s="70" t="n">
        <x:v>10.75</x:v>
      </x:c>
    </x:row>
    <x:row r="421" s="43" customFormat="1" ht="15" customHeight="1">
      <x:c r="A421" s="71" t="n">
        <x:v>44616</x:v>
      </x:c>
      <x:c r="B421" s="72" t="n">
        <x:v>10.75</x:v>
      </x:c>
    </x:row>
    <x:row r="422" s="43" customFormat="1" ht="15" customHeight="1">
      <x:c r="A422" s="69" t="n">
        <x:v>44617</x:v>
      </x:c>
      <x:c r="B422" s="70" t="n">
        <x:v>10.75</x:v>
      </x:c>
    </x:row>
    <x:row r="423" s="43" customFormat="1" ht="15" customHeight="1">
      <x:c r="A423" s="71" t="n">
        <x:v>44618</x:v>
      </x:c>
      <x:c r="B423" s="72" t="n">
        <x:v>10.75</x:v>
      </x:c>
    </x:row>
    <x:row r="424" s="43" customFormat="1" ht="15" customHeight="1">
      <x:c r="A424" s="69" t="n">
        <x:v>44619</x:v>
      </x:c>
      <x:c r="B424" s="70" t="n">
        <x:v>10.75</x:v>
      </x:c>
    </x:row>
    <x:row r="425" s="43" customFormat="1" ht="15" customHeight="1">
      <x:c r="A425" s="71" t="n">
        <x:v>44620</x:v>
      </x:c>
      <x:c r="B425" s="72" t="n">
        <x:v>10.75</x:v>
      </x:c>
    </x:row>
    <x:row r="426" s="43" customFormat="1" ht="15" customHeight="1">
      <x:c r="A426" s="69" t="n">
        <x:v>44621</x:v>
      </x:c>
      <x:c r="B426" s="70" t="n">
        <x:v>10.75</x:v>
      </x:c>
    </x:row>
    <x:row r="427" s="43" customFormat="1" ht="15" customHeight="1">
      <x:c r="A427" s="71" t="n">
        <x:v>44622</x:v>
      </x:c>
      <x:c r="B427" s="72" t="n">
        <x:v>10.75</x:v>
      </x:c>
    </x:row>
    <x:row r="428" s="43" customFormat="1" ht="15" customHeight="1">
      <x:c r="A428" s="69" t="n">
        <x:v>44623</x:v>
      </x:c>
      <x:c r="B428" s="70" t="n">
        <x:v>10.75</x:v>
      </x:c>
    </x:row>
    <x:row r="429" s="43" customFormat="1" ht="15" customHeight="1">
      <x:c r="A429" s="71" t="n">
        <x:v>44624</x:v>
      </x:c>
      <x:c r="B429" s="72" t="n">
        <x:v>10.75</x:v>
      </x:c>
    </x:row>
    <x:row r="430" s="43" customFormat="1" ht="15" customHeight="1">
      <x:c r="A430" s="69" t="n">
        <x:v>44625</x:v>
      </x:c>
      <x:c r="B430" s="70" t="n">
        <x:v>10.75</x:v>
      </x:c>
    </x:row>
    <x:row r="431" s="43" customFormat="1" ht="15" customHeight="1">
      <x:c r="A431" s="71" t="n">
        <x:v>44626</x:v>
      </x:c>
      <x:c r="B431" s="72" t="n">
        <x:v>10.75</x:v>
      </x:c>
    </x:row>
    <x:row r="432" s="43" customFormat="1" ht="15" customHeight="1">
      <x:c r="A432" s="69" t="n">
        <x:v>44627</x:v>
      </x:c>
      <x:c r="B432" s="70" t="n">
        <x:v>10.75</x:v>
      </x:c>
    </x:row>
    <x:row r="433" s="43" customFormat="1" ht="15" customHeight="1">
      <x:c r="A433" s="71" t="n">
        <x:v>44628</x:v>
      </x:c>
      <x:c r="B433" s="72" t="n">
        <x:v>10.75</x:v>
      </x:c>
    </x:row>
    <x:row r="434" s="43" customFormat="1" ht="15" customHeight="1">
      <x:c r="A434" s="69" t="n">
        <x:v>44629</x:v>
      </x:c>
      <x:c r="B434" s="70" t="n">
        <x:v>10.75</x:v>
      </x:c>
    </x:row>
    <x:row r="435" s="43" customFormat="1" ht="15" customHeight="1">
      <x:c r="A435" s="71" t="n">
        <x:v>44630</x:v>
      </x:c>
      <x:c r="B435" s="72" t="n">
        <x:v>10.75</x:v>
      </x:c>
    </x:row>
    <x:row r="436" s="43" customFormat="1" ht="15" customHeight="1">
      <x:c r="A436" s="69" t="n">
        <x:v>44631</x:v>
      </x:c>
      <x:c r="B436" s="70" t="n">
        <x:v>10.75</x:v>
      </x:c>
    </x:row>
    <x:row r="437" s="43" customFormat="1" ht="15" customHeight="1">
      <x:c r="A437" s="71" t="n">
        <x:v>44632</x:v>
      </x:c>
      <x:c r="B437" s="72" t="n">
        <x:v>10.75</x:v>
      </x:c>
    </x:row>
    <x:row r="438" s="43" customFormat="1" ht="15" customHeight="1">
      <x:c r="A438" s="69" t="n">
        <x:v>44633</x:v>
      </x:c>
      <x:c r="B438" s="70" t="n">
        <x:v>10.75</x:v>
      </x:c>
    </x:row>
    <x:row r="439" s="43" customFormat="1" ht="15" customHeight="1">
      <x:c r="A439" s="71" t="n">
        <x:v>44634</x:v>
      </x:c>
      <x:c r="B439" s="72" t="n">
        <x:v>10.75</x:v>
      </x:c>
    </x:row>
    <x:row r="440" s="43" customFormat="1" ht="15" customHeight="1">
      <x:c r="A440" s="69" t="n">
        <x:v>44635</x:v>
      </x:c>
      <x:c r="B440" s="70" t="n">
        <x:v>10.75</x:v>
      </x:c>
    </x:row>
    <x:row r="441" s="43" customFormat="1" ht="15" customHeight="1">
      <x:c r="A441" s="71" t="n">
        <x:v>44636</x:v>
      </x:c>
      <x:c r="B441" s="72" t="n">
        <x:v>10.75</x:v>
      </x:c>
    </x:row>
    <x:row r="442" s="43" customFormat="1" ht="15" customHeight="1">
      <x:c r="A442" s="69" t="n">
        <x:v>44637</x:v>
      </x:c>
      <x:c r="B442" s="70" t="n">
        <x:v>11.75</x:v>
      </x:c>
    </x:row>
    <x:row r="443" s="43" customFormat="1" ht="15" customHeight="1">
      <x:c r="A443" s="71" t="n">
        <x:v>44638</x:v>
      </x:c>
      <x:c r="B443" s="72" t="n">
        <x:v>11.75</x:v>
      </x:c>
    </x:row>
    <x:row r="444" s="43" customFormat="1" ht="15" customHeight="1">
      <x:c r="A444" s="69" t="n">
        <x:v>44639</x:v>
      </x:c>
      <x:c r="B444" s="70" t="n">
        <x:v>11.75</x:v>
      </x:c>
    </x:row>
    <x:row r="445" s="43" customFormat="1" ht="15" customHeight="1">
      <x:c r="A445" s="71" t="n">
        <x:v>44640</x:v>
      </x:c>
      <x:c r="B445" s="72" t="n">
        <x:v>11.75</x:v>
      </x:c>
    </x:row>
    <x:row r="446" s="43" customFormat="1" ht="15" customHeight="1">
      <x:c r="A446" s="69" t="n">
        <x:v>44641</x:v>
      </x:c>
      <x:c r="B446" s="70" t="n">
        <x:v>11.75</x:v>
      </x:c>
    </x:row>
    <x:row r="447" s="43" customFormat="1" ht="15" customHeight="1">
      <x:c r="A447" s="71" t="n">
        <x:v>44642</x:v>
      </x:c>
      <x:c r="B447" s="72" t="n">
        <x:v>11.75</x:v>
      </x:c>
    </x:row>
    <x:row r="448" s="43" customFormat="1" ht="15" customHeight="1">
      <x:c r="A448" s="69" t="n">
        <x:v>44643</x:v>
      </x:c>
      <x:c r="B448" s="70" t="n">
        <x:v>11.75</x:v>
      </x:c>
    </x:row>
    <x:row r="449" s="43" customFormat="1" ht="15" customHeight="1">
      <x:c r="A449" s="71" t="n">
        <x:v>44644</x:v>
      </x:c>
      <x:c r="B449" s="72" t="n">
        <x:v>11.75</x:v>
      </x:c>
    </x:row>
    <x:row r="450" s="43" customFormat="1" ht="15" customHeight="1">
      <x:c r="A450" s="69" t="n">
        <x:v>44645</x:v>
      </x:c>
      <x:c r="B450" s="70" t="n">
        <x:v>11.75</x:v>
      </x:c>
    </x:row>
    <x:row r="451" s="43" customFormat="1" ht="15" customHeight="1">
      <x:c r="A451" s="71" t="n">
        <x:v>44646</x:v>
      </x:c>
      <x:c r="B451" s="72" t="n">
        <x:v>11.75</x:v>
      </x:c>
    </x:row>
    <x:row r="452" s="43" customFormat="1" ht="15" customHeight="1">
      <x:c r="A452" s="69" t="n">
        <x:v>44647</x:v>
      </x:c>
      <x:c r="B452" s="70" t="n">
        <x:v>11.75</x:v>
      </x:c>
    </x:row>
    <x:row r="453" s="43" customFormat="1" ht="15" customHeight="1">
      <x:c r="A453" s="71" t="n">
        <x:v>44648</x:v>
      </x:c>
      <x:c r="B453" s="72" t="n">
        <x:v>11.75</x:v>
      </x:c>
    </x:row>
    <x:row r="454" s="43" customFormat="1" ht="15" customHeight="1">
      <x:c r="A454" s="69" t="n">
        <x:v>44649</x:v>
      </x:c>
      <x:c r="B454" s="70" t="n">
        <x:v>11.75</x:v>
      </x:c>
    </x:row>
    <x:row r="455" s="43" customFormat="1" ht="15" customHeight="1">
      <x:c r="A455" s="71" t="n">
        <x:v>44650</x:v>
      </x:c>
      <x:c r="B455" s="72" t="n">
        <x:v>11.75</x:v>
      </x:c>
    </x:row>
    <x:row r="456" s="43" customFormat="1" ht="15" customHeight="1">
      <x:c r="A456" s="69" t="n">
        <x:v>44651</x:v>
      </x:c>
      <x:c r="B456" s="70" t="n">
        <x:v>11.75</x:v>
      </x:c>
    </x:row>
    <x:row r="457" s="43" customFormat="1" ht="15" customHeight="1">
      <x:c r="A457" s="71" t="n">
        <x:v>44652</x:v>
      </x:c>
      <x:c r="B457" s="72" t="n">
        <x:v>11.75</x:v>
      </x:c>
    </x:row>
    <x:row r="458" s="43" customFormat="1" ht="15" customHeight="1">
      <x:c r="A458" s="69" t="n">
        <x:v>44653</x:v>
      </x:c>
      <x:c r="B458" s="70" t="n">
        <x:v>11.75</x:v>
      </x:c>
    </x:row>
    <x:row r="459" s="43" customFormat="1" ht="15" customHeight="1">
      <x:c r="A459" s="71" t="n">
        <x:v>44654</x:v>
      </x:c>
      <x:c r="B459" s="72" t="n">
        <x:v>11.75</x:v>
      </x:c>
    </x:row>
    <x:row r="460" s="43" customFormat="1" ht="15" customHeight="1">
      <x:c r="A460" s="69" t="n">
        <x:v>44655</x:v>
      </x:c>
      <x:c r="B460" s="70" t="n">
        <x:v>11.75</x:v>
      </x:c>
    </x:row>
    <x:row r="461" s="43" customFormat="1" ht="15" customHeight="1">
      <x:c r="A461" s="71" t="n">
        <x:v>44656</x:v>
      </x:c>
      <x:c r="B461" s="72" t="n">
        <x:v>11.75</x:v>
      </x:c>
    </x:row>
    <x:row r="462" s="43" customFormat="1" ht="15" customHeight="1">
      <x:c r="A462" s="69" t="n">
        <x:v>44657</x:v>
      </x:c>
      <x:c r="B462" s="70" t="n">
        <x:v>11.75</x:v>
      </x:c>
    </x:row>
    <x:row r="463" s="43" customFormat="1" ht="15" customHeight="1">
      <x:c r="A463" s="71" t="n">
        <x:v>44658</x:v>
      </x:c>
      <x:c r="B463" s="72" t="n">
        <x:v>11.75</x:v>
      </x:c>
    </x:row>
    <x:row r="464" s="43" customFormat="1" ht="15" customHeight="1">
      <x:c r="A464" s="69" t="n">
        <x:v>44659</x:v>
      </x:c>
      <x:c r="B464" s="70" t="n">
        <x:v>11.75</x:v>
      </x:c>
    </x:row>
    <x:row r="465" s="43" customFormat="1" ht="15" customHeight="1">
      <x:c r="A465" s="71" t="n">
        <x:v>44660</x:v>
      </x:c>
      <x:c r="B465" s="72" t="n">
        <x:v>11.75</x:v>
      </x:c>
    </x:row>
    <x:row r="466" s="43" customFormat="1" ht="15" customHeight="1">
      <x:c r="A466" s="69" t="n">
        <x:v>44661</x:v>
      </x:c>
      <x:c r="B466" s="70" t="n">
        <x:v>11.75</x:v>
      </x:c>
    </x:row>
    <x:row r="467" s="43" customFormat="1" ht="15" customHeight="1">
      <x:c r="A467" s="71" t="n">
        <x:v>44662</x:v>
      </x:c>
      <x:c r="B467" s="72" t="n">
        <x:v>11.75</x:v>
      </x:c>
    </x:row>
    <x:row r="468" s="43" customFormat="1" ht="15" customHeight="1">
      <x:c r="A468" s="69" t="n">
        <x:v>44663</x:v>
      </x:c>
      <x:c r="B468" s="70" t="n">
        <x:v>11.75</x:v>
      </x:c>
    </x:row>
    <x:row r="469" s="43" customFormat="1" ht="15" customHeight="1">
      <x:c r="A469" s="71" t="n">
        <x:v>44664</x:v>
      </x:c>
      <x:c r="B469" s="72" t="n">
        <x:v>11.75</x:v>
      </x:c>
    </x:row>
    <x:row r="470" s="43" customFormat="1" ht="15" customHeight="1">
      <x:c r="A470" s="69" t="n">
        <x:v>44665</x:v>
      </x:c>
      <x:c r="B470" s="70" t="n">
        <x:v>11.75</x:v>
      </x:c>
    </x:row>
    <x:row r="471" s="43" customFormat="1" ht="15" customHeight="1">
      <x:c r="A471" s="71" t="n">
        <x:v>44666</x:v>
      </x:c>
      <x:c r="B471" s="72" t="n">
        <x:v>11.75</x:v>
      </x:c>
    </x:row>
    <x:row r="472" s="43" customFormat="1" ht="15" customHeight="1">
      <x:c r="A472" s="69" t="n">
        <x:v>44667</x:v>
      </x:c>
      <x:c r="B472" s="70" t="n">
        <x:v>11.75</x:v>
      </x:c>
    </x:row>
    <x:row r="473" s="43" customFormat="1" ht="15" customHeight="1">
      <x:c r="A473" s="71" t="n">
        <x:v>44668</x:v>
      </x:c>
      <x:c r="B473" s="72" t="n">
        <x:v>11.75</x:v>
      </x:c>
    </x:row>
    <x:row r="474" s="43" customFormat="1" ht="15" customHeight="1">
      <x:c r="A474" s="69" t="n">
        <x:v>44669</x:v>
      </x:c>
      <x:c r="B474" s="70" t="n">
        <x:v>11.75</x:v>
      </x:c>
    </x:row>
    <x:row r="475" s="43" customFormat="1" ht="15" customHeight="1">
      <x:c r="A475" s="71" t="n">
        <x:v>44670</x:v>
      </x:c>
      <x:c r="B475" s="72" t="n">
        <x:v>11.75</x:v>
      </x:c>
    </x:row>
    <x:row r="476" s="43" customFormat="1" ht="15" customHeight="1">
      <x:c r="A476" s="69" t="n">
        <x:v>44671</x:v>
      </x:c>
      <x:c r="B476" s="70" t="n">
        <x:v>11.75</x:v>
      </x:c>
    </x:row>
    <x:row r="477" s="43" customFormat="1" ht="15" customHeight="1">
      <x:c r="A477" s="71" t="n">
        <x:v>44672</x:v>
      </x:c>
      <x:c r="B477" s="72" t="n">
        <x:v>11.75</x:v>
      </x:c>
    </x:row>
    <x:row r="478" s="43" customFormat="1" ht="15" customHeight="1">
      <x:c r="A478" s="69" t="n">
        <x:v>44673</x:v>
      </x:c>
      <x:c r="B478" s="70" t="n">
        <x:v>11.75</x:v>
      </x:c>
    </x:row>
    <x:row r="479" s="43" customFormat="1" ht="15" customHeight="1">
      <x:c r="A479" s="71" t="n">
        <x:v>44674</x:v>
      </x:c>
      <x:c r="B479" s="72" t="n">
        <x:v>11.75</x:v>
      </x:c>
    </x:row>
    <x:row r="480" s="43" customFormat="1" ht="15" customHeight="1">
      <x:c r="A480" s="69" t="n">
        <x:v>44675</x:v>
      </x:c>
      <x:c r="B480" s="70" t="n">
        <x:v>11.75</x:v>
      </x:c>
    </x:row>
    <x:row r="481" s="43" customFormat="1" ht="15" customHeight="1">
      <x:c r="A481" s="71" t="n">
        <x:v>44676</x:v>
      </x:c>
      <x:c r="B481" s="72" t="n">
        <x:v>11.75</x:v>
      </x:c>
    </x:row>
    <x:row r="482" s="43" customFormat="1" ht="15" customHeight="1">
      <x:c r="A482" s="69" t="n">
        <x:v>44677</x:v>
      </x:c>
      <x:c r="B482" s="70" t="n">
        <x:v>11.75</x:v>
      </x:c>
    </x:row>
    <x:row r="483" s="43" customFormat="1" ht="15" customHeight="1">
      <x:c r="A483" s="71" t="n">
        <x:v>44678</x:v>
      </x:c>
      <x:c r="B483" s="72" t="n">
        <x:v>11.75</x:v>
      </x:c>
    </x:row>
    <x:row r="484" s="43" customFormat="1" ht="15" customHeight="1">
      <x:c r="A484" s="69" t="n">
        <x:v>44679</x:v>
      </x:c>
      <x:c r="B484" s="70" t="n">
        <x:v>11.75</x:v>
      </x:c>
    </x:row>
    <x:row r="485" s="43" customFormat="1" ht="15" customHeight="1">
      <x:c r="A485" s="71" t="n">
        <x:v>44680</x:v>
      </x:c>
      <x:c r="B485" s="72" t="n">
        <x:v>11.75</x:v>
      </x:c>
    </x:row>
    <x:row r="486" s="43" customFormat="1" ht="15" customHeight="1">
      <x:c r="A486" s="69" t="n">
        <x:v>44681</x:v>
      </x:c>
      <x:c r="B486" s="70" t="n">
        <x:v>11.75</x:v>
      </x:c>
    </x:row>
    <x:row r="487" s="43" customFormat="1" ht="15" customHeight="1">
      <x:c r="A487" s="71" t="n">
        <x:v>44682</x:v>
      </x:c>
      <x:c r="B487" s="72" t="n">
        <x:v>11.75</x:v>
      </x:c>
    </x:row>
    <x:row r="488" s="43" customFormat="1" ht="15" customHeight="1">
      <x:c r="A488" s="69" t="n">
        <x:v>44683</x:v>
      </x:c>
      <x:c r="B488" s="70" t="n">
        <x:v>11.75</x:v>
      </x:c>
    </x:row>
    <x:row r="489" s="43" customFormat="1" ht="15" customHeight="1">
      <x:c r="A489" s="71" t="n">
        <x:v>44684</x:v>
      </x:c>
      <x:c r="B489" s="72" t="n">
        <x:v>11.75</x:v>
      </x:c>
    </x:row>
    <x:row r="490" s="43" customFormat="1" ht="15" customHeight="1">
      <x:c r="A490" s="69" t="n">
        <x:v>44685</x:v>
      </x:c>
      <x:c r="B490" s="70" t="n">
        <x:v>11.75</x:v>
      </x:c>
    </x:row>
    <x:row r="491" s="43" customFormat="1" ht="15" customHeight="1">
      <x:c r="A491" s="71" t="n">
        <x:v>44686</x:v>
      </x:c>
      <x:c r="B491" s="72" t="n">
        <x:v>12.75</x:v>
      </x:c>
    </x:row>
    <x:row r="492" s="43" customFormat="1" ht="15" customHeight="1">
      <x:c r="A492" s="69" t="n">
        <x:v>44687</x:v>
      </x:c>
      <x:c r="B492" s="70" t="n">
        <x:v>12.75</x:v>
      </x:c>
    </x:row>
    <x:row r="493" s="43" customFormat="1" ht="15" customHeight="1">
      <x:c r="A493" s="71" t="n">
        <x:v>44688</x:v>
      </x:c>
      <x:c r="B493" s="72" t="n">
        <x:v>12.75</x:v>
      </x:c>
    </x:row>
    <x:row r="494" s="43" customFormat="1" ht="15" customHeight="1">
      <x:c r="A494" s="69" t="n">
        <x:v>44689</x:v>
      </x:c>
      <x:c r="B494" s="70" t="n">
        <x:v>12.75</x:v>
      </x:c>
    </x:row>
    <x:row r="495" s="43" customFormat="1" ht="15" customHeight="1">
      <x:c r="A495" s="71" t="n">
        <x:v>44690</x:v>
      </x:c>
      <x:c r="B495" s="72" t="n">
        <x:v>12.75</x:v>
      </x:c>
    </x:row>
    <x:row r="496" s="43" customFormat="1" ht="15" customHeight="1">
      <x:c r="A496" s="69" t="n">
        <x:v>44691</x:v>
      </x:c>
      <x:c r="B496" s="70" t="n">
        <x:v>12.75</x:v>
      </x:c>
    </x:row>
    <x:row r="497" s="43" customFormat="1" ht="15" customHeight="1">
      <x:c r="A497" s="71" t="n">
        <x:v>44692</x:v>
      </x:c>
      <x:c r="B497" s="72" t="n">
        <x:v>12.75</x:v>
      </x:c>
    </x:row>
    <x:row r="498" s="43" customFormat="1" ht="15" customHeight="1">
      <x:c r="A498" s="69" t="n">
        <x:v>44693</x:v>
      </x:c>
      <x:c r="B498" s="70" t="n">
        <x:v>12.75</x:v>
      </x:c>
    </x:row>
    <x:row r="499" s="43" customFormat="1" ht="15" customHeight="1">
      <x:c r="A499" s="71" t="n">
        <x:v>44694</x:v>
      </x:c>
      <x:c r="B499" s="72" t="n">
        <x:v>12.75</x:v>
      </x:c>
    </x:row>
    <x:row r="500" s="43" customFormat="1" ht="15" customHeight="1">
      <x:c r="A500" s="69" t="n">
        <x:v>44695</x:v>
      </x:c>
      <x:c r="B500" s="70" t="n">
        <x:v>12.75</x:v>
      </x:c>
    </x:row>
    <x:row r="501" s="43" customFormat="1" ht="15" customHeight="1">
      <x:c r="A501" s="71" t="n">
        <x:v>44696</x:v>
      </x:c>
      <x:c r="B501" s="72" t="n">
        <x:v>12.75</x:v>
      </x:c>
    </x:row>
    <x:row r="502" s="43" customFormat="1" ht="15" customHeight="1">
      <x:c r="A502" s="69" t="n">
        <x:v>44697</x:v>
      </x:c>
      <x:c r="B502" s="70" t="n">
        <x:v>12.75</x:v>
      </x:c>
    </x:row>
    <x:row r="503" s="43" customFormat="1" ht="15" customHeight="1">
      <x:c r="A503" s="71" t="n">
        <x:v>44698</x:v>
      </x:c>
      <x:c r="B503" s="72" t="n">
        <x:v>12.75</x:v>
      </x:c>
    </x:row>
    <x:row r="504" s="43" customFormat="1" ht="15" customHeight="1">
      <x:c r="A504" s="69" t="n">
        <x:v>44699</x:v>
      </x:c>
      <x:c r="B504" s="70" t="n">
        <x:v>12.75</x:v>
      </x:c>
    </x:row>
    <x:row r="505" s="43" customFormat="1" ht="15" customHeight="1">
      <x:c r="A505" s="71" t="n">
        <x:v>44700</x:v>
      </x:c>
      <x:c r="B505" s="72" t="n">
        <x:v>12.75</x:v>
      </x:c>
    </x:row>
    <x:row r="506" s="43" customFormat="1" ht="15" customHeight="1">
      <x:c r="A506" s="69" t="n">
        <x:v>44701</x:v>
      </x:c>
      <x:c r="B506" s="70" t="n">
        <x:v>12.75</x:v>
      </x:c>
    </x:row>
    <x:row r="507" s="43" customFormat="1" ht="15" customHeight="1">
      <x:c r="A507" s="71" t="n">
        <x:v>44702</x:v>
      </x:c>
      <x:c r="B507" s="72" t="n">
        <x:v>12.75</x:v>
      </x:c>
    </x:row>
    <x:row r="508" s="43" customFormat="1" ht="15" customHeight="1">
      <x:c r="A508" s="69" t="n">
        <x:v>44703</x:v>
      </x:c>
      <x:c r="B508" s="70" t="n">
        <x:v>12.75</x:v>
      </x:c>
    </x:row>
    <x:row r="509" s="43" customFormat="1" ht="15" customHeight="1">
      <x:c r="A509" s="71" t="n">
        <x:v>44704</x:v>
      </x:c>
      <x:c r="B509" s="72" t="n">
        <x:v>12.75</x:v>
      </x:c>
    </x:row>
    <x:row r="510" s="43" customFormat="1" ht="15" customHeight="1">
      <x:c r="A510" s="69" t="n">
        <x:v>44705</x:v>
      </x:c>
      <x:c r="B510" s="70" t="n">
        <x:v>12.75</x:v>
      </x:c>
    </x:row>
    <x:row r="511" s="43" customFormat="1" ht="15" customHeight="1">
      <x:c r="A511" s="71" t="n">
        <x:v>44706</x:v>
      </x:c>
      <x:c r="B511" s="72" t="n">
        <x:v>12.75</x:v>
      </x:c>
    </x:row>
    <x:row r="512" s="43" customFormat="1" ht="15" customHeight="1">
      <x:c r="A512" s="69" t="n">
        <x:v>44707</x:v>
      </x:c>
      <x:c r="B512" s="70" t="n">
        <x:v>12.75</x:v>
      </x:c>
    </x:row>
    <x:row r="513" s="43" customFormat="1" ht="15" customHeight="1">
      <x:c r="A513" s="71" t="n">
        <x:v>44708</x:v>
      </x:c>
      <x:c r="B513" s="72" t="n">
        <x:v>12.75</x:v>
      </x:c>
    </x:row>
    <x:row r="514" s="43" customFormat="1" ht="15" customHeight="1">
      <x:c r="A514" s="69" t="n">
        <x:v>44709</x:v>
      </x:c>
      <x:c r="B514" s="70" t="n">
        <x:v>12.75</x:v>
      </x:c>
    </x:row>
    <x:row r="515" s="43" customFormat="1" ht="15" customHeight="1">
      <x:c r="A515" s="71" t="n">
        <x:v>44710</x:v>
      </x:c>
      <x:c r="B515" s="72" t="n">
        <x:v>12.75</x:v>
      </x:c>
    </x:row>
    <x:row r="516" s="43" customFormat="1" ht="15" customHeight="1">
      <x:c r="A516" s="69" t="n">
        <x:v>44711</x:v>
      </x:c>
      <x:c r="B516" s="70" t="n">
        <x:v>12.75</x:v>
      </x:c>
    </x:row>
    <x:row r="517" s="43" customFormat="1" ht="15" customHeight="1">
      <x:c r="A517" s="71" t="n">
        <x:v>44712</x:v>
      </x:c>
      <x:c r="B517" s="72" t="n">
        <x:v>12.75</x:v>
      </x:c>
    </x:row>
    <x:row r="518" s="43" customFormat="1" ht="15" customHeight="1">
      <x:c r="A518" s="69" t="n">
        <x:v>44713</x:v>
      </x:c>
      <x:c r="B518" s="70" t="n">
        <x:v>12.75</x:v>
      </x:c>
    </x:row>
    <x:row r="519" s="43" customFormat="1" ht="15" customHeight="1">
      <x:c r="A519" s="71" t="n">
        <x:v>44714</x:v>
      </x:c>
      <x:c r="B519" s="72" t="n">
        <x:v>12.75</x:v>
      </x:c>
    </x:row>
    <x:row r="520" s="43" customFormat="1" ht="15" customHeight="1">
      <x:c r="A520" s="69" t="n">
        <x:v>44715</x:v>
      </x:c>
      <x:c r="B520" s="70" t="n">
        <x:v>12.75</x:v>
      </x:c>
    </x:row>
    <x:row r="521" s="43" customFormat="1" ht="15" customHeight="1">
      <x:c r="A521" s="71" t="n">
        <x:v>44716</x:v>
      </x:c>
      <x:c r="B521" s="72" t="n">
        <x:v>12.75</x:v>
      </x:c>
    </x:row>
    <x:row r="522" s="43" customFormat="1" ht="15" customHeight="1">
      <x:c r="A522" s="69" t="n">
        <x:v>44717</x:v>
      </x:c>
      <x:c r="B522" s="70" t="n">
        <x:v>12.75</x:v>
      </x:c>
    </x:row>
    <x:row r="523" s="43" customFormat="1" ht="15" customHeight="1">
      <x:c r="A523" s="71" t="n">
        <x:v>44718</x:v>
      </x:c>
      <x:c r="B523" s="72" t="n">
        <x:v>12.75</x:v>
      </x:c>
    </x:row>
    <x:row r="524" s="43" customFormat="1" ht="15" customHeight="1">
      <x:c r="A524" s="69" t="n">
        <x:v>44719</x:v>
      </x:c>
      <x:c r="B524" s="70" t="n">
        <x:v>12.75</x:v>
      </x:c>
    </x:row>
    <x:row r="525" s="43" customFormat="1" ht="15" customHeight="1">
      <x:c r="A525" s="71" t="n">
        <x:v>44720</x:v>
      </x:c>
      <x:c r="B525" s="72" t="n">
        <x:v>12.75</x:v>
      </x:c>
    </x:row>
    <x:row r="526" s="43" customFormat="1" ht="15" customHeight="1">
      <x:c r="A526" s="69" t="n">
        <x:v>44721</x:v>
      </x:c>
      <x:c r="B526" s="70" t="n">
        <x:v>12.75</x:v>
      </x:c>
    </x:row>
    <x:row r="527" s="43" customFormat="1" ht="15" customHeight="1">
      <x:c r="A527" s="71" t="n">
        <x:v>44722</x:v>
      </x:c>
      <x:c r="B527" s="72" t="n">
        <x:v>12.75</x:v>
      </x:c>
    </x:row>
    <x:row r="528" s="43" customFormat="1" ht="15" customHeight="1">
      <x:c r="A528" s="69" t="n">
        <x:v>44723</x:v>
      </x:c>
      <x:c r="B528" s="70" t="n">
        <x:v>12.75</x:v>
      </x:c>
    </x:row>
    <x:row r="529" s="43" customFormat="1" ht="15" customHeight="1">
      <x:c r="A529" s="71" t="n">
        <x:v>44724</x:v>
      </x:c>
      <x:c r="B529" s="72" t="n">
        <x:v>12.75</x:v>
      </x:c>
    </x:row>
    <x:row r="530" s="43" customFormat="1" ht="15" customHeight="1">
      <x:c r="A530" s="69" t="n">
        <x:v>44725</x:v>
      </x:c>
      <x:c r="B530" s="70" t="n">
        <x:v>12.75</x:v>
      </x:c>
    </x:row>
    <x:row r="531" s="43" customFormat="1" ht="15" customHeight="1">
      <x:c r="A531" s="71" t="n">
        <x:v>44726</x:v>
      </x:c>
      <x:c r="B531" s="72" t="n">
        <x:v>12.75</x:v>
      </x:c>
    </x:row>
    <x:row r="532" s="43" customFormat="1" ht="15" customHeight="1">
      <x:c r="A532" s="69" t="n">
        <x:v>44727</x:v>
      </x:c>
      <x:c r="B532" s="70" t="n">
        <x:v>12.75</x:v>
      </x:c>
    </x:row>
    <x:row r="533" s="43" customFormat="1" ht="15" customHeight="1">
      <x:c r="A533" s="71" t="n">
        <x:v>44728</x:v>
      </x:c>
      <x:c r="B533" s="72" t="n">
        <x:v>13.25</x:v>
      </x:c>
    </x:row>
    <x:row r="534" s="43" customFormat="1" ht="15" customHeight="1">
      <x:c r="A534" s="69" t="n">
        <x:v>44729</x:v>
      </x:c>
      <x:c r="B534" s="70" t="n">
        <x:v>13.25</x:v>
      </x:c>
    </x:row>
    <x:row r="535" s="43" customFormat="1" ht="15" customHeight="1">
      <x:c r="A535" s="71" t="n">
        <x:v>44730</x:v>
      </x:c>
      <x:c r="B535" s="72" t="n">
        <x:v>13.25</x:v>
      </x:c>
    </x:row>
    <x:row r="536" s="43" customFormat="1" ht="15" customHeight="1">
      <x:c r="A536" s="69" t="n">
        <x:v>44731</x:v>
      </x:c>
      <x:c r="B536" s="70" t="n">
        <x:v>13.25</x:v>
      </x:c>
    </x:row>
    <x:row r="537" s="43" customFormat="1" ht="15" customHeight="1">
      <x:c r="A537" s="71" t="n">
        <x:v>44732</x:v>
      </x:c>
      <x:c r="B537" s="72" t="n">
        <x:v>13.25</x:v>
      </x:c>
    </x:row>
    <x:row r="538" s="43" customFormat="1" ht="15" customHeight="1">
      <x:c r="A538" s="69" t="n">
        <x:v>44733</x:v>
      </x:c>
      <x:c r="B538" s="70" t="n">
        <x:v>13.25</x:v>
      </x:c>
    </x:row>
    <x:row r="539" s="43" customFormat="1" ht="15" customHeight="1">
      <x:c r="A539" s="71" t="n">
        <x:v>44734</x:v>
      </x:c>
      <x:c r="B539" s="72" t="n">
        <x:v>13.25</x:v>
      </x:c>
    </x:row>
    <x:row r="540" s="43" customFormat="1" ht="15" customHeight="1">
      <x:c r="A540" s="69" t="n">
        <x:v>44735</x:v>
      </x:c>
      <x:c r="B540" s="70" t="n">
        <x:v>13.25</x:v>
      </x:c>
    </x:row>
    <x:row r="541" s="43" customFormat="1" ht="15" customHeight="1">
      <x:c r="A541" s="71" t="n">
        <x:v>44736</x:v>
      </x:c>
      <x:c r="B541" s="72" t="n">
        <x:v>13.25</x:v>
      </x:c>
    </x:row>
    <x:row r="542" s="43" customFormat="1" ht="15" customHeight="1">
      <x:c r="A542" s="69" t="n">
        <x:v>44737</x:v>
      </x:c>
      <x:c r="B542" s="70" t="n">
        <x:v>13.25</x:v>
      </x:c>
    </x:row>
    <x:row r="543" s="43" customFormat="1" ht="15" customHeight="1">
      <x:c r="A543" s="71" t="n">
        <x:v>44738</x:v>
      </x:c>
      <x:c r="B543" s="72" t="n">
        <x:v>13.25</x:v>
      </x:c>
    </x:row>
    <x:row r="544" s="43" customFormat="1" ht="15" customHeight="1">
      <x:c r="A544" s="69" t="n">
        <x:v>44739</x:v>
      </x:c>
      <x:c r="B544" s="70" t="n">
        <x:v>13.25</x:v>
      </x:c>
    </x:row>
    <x:row r="545" s="43" customFormat="1" ht="15" customHeight="1">
      <x:c r="A545" s="71" t="n">
        <x:v>44740</x:v>
      </x:c>
      <x:c r="B545" s="72" t="n">
        <x:v>13.25</x:v>
      </x:c>
    </x:row>
    <x:row r="546" s="43" customFormat="1" ht="15" customHeight="1">
      <x:c r="A546" s="69" t="n">
        <x:v>44741</x:v>
      </x:c>
      <x:c r="B546" s="70" t="n">
        <x:v>13.25</x:v>
      </x:c>
    </x:row>
    <x:row r="547" s="43" customFormat="1" ht="15" customHeight="1">
      <x:c r="A547" s="71" t="n">
        <x:v>44742</x:v>
      </x:c>
      <x:c r="B547" s="72" t="n">
        <x:v>13.25</x:v>
      </x:c>
    </x:row>
    <x:row r="548" s="43" customFormat="1" ht="15" customHeight="1">
      <x:c r="A548" s="69" t="n">
        <x:v>44743</x:v>
      </x:c>
      <x:c r="B548" s="70" t="n">
        <x:v>13.25</x:v>
      </x:c>
    </x:row>
    <x:row r="549" s="43" customFormat="1" ht="15" customHeight="1">
      <x:c r="A549" s="71" t="n">
        <x:v>44744</x:v>
      </x:c>
      <x:c r="B549" s="72" t="n">
        <x:v>13.25</x:v>
      </x:c>
    </x:row>
    <x:row r="550" s="43" customFormat="1" ht="15" customHeight="1">
      <x:c r="A550" s="69" t="n">
        <x:v>44745</x:v>
      </x:c>
      <x:c r="B550" s="70" t="n">
        <x:v>13.25</x:v>
      </x:c>
    </x:row>
    <x:row r="551" s="43" customFormat="1" ht="15" customHeight="1">
      <x:c r="A551" s="71" t="n">
        <x:v>44746</x:v>
      </x:c>
      <x:c r="B551" s="72" t="n">
        <x:v>13.25</x:v>
      </x:c>
    </x:row>
    <x:row r="552" s="43" customFormat="1" ht="15" customHeight="1">
      <x:c r="A552" s="69" t="n">
        <x:v>44747</x:v>
      </x:c>
      <x:c r="B552" s="70" t="n">
        <x:v>13.25</x:v>
      </x:c>
    </x:row>
    <x:row r="553" s="43" customFormat="1" ht="15" customHeight="1">
      <x:c r="A553" s="71" t="n">
        <x:v>44748</x:v>
      </x:c>
      <x:c r="B553" s="72" t="n">
        <x:v>13.25</x:v>
      </x:c>
    </x:row>
    <x:row r="554" s="43" customFormat="1" ht="15" customHeight="1">
      <x:c r="A554" s="69" t="n">
        <x:v>44749</x:v>
      </x:c>
      <x:c r="B554" s="70" t="n">
        <x:v>13.25</x:v>
      </x:c>
    </x:row>
    <x:row r="555" s="43" customFormat="1" ht="15" customHeight="1">
      <x:c r="A555" s="71" t="n">
        <x:v>44750</x:v>
      </x:c>
      <x:c r="B555" s="72" t="n">
        <x:v>13.25</x:v>
      </x:c>
    </x:row>
    <x:row r="556" s="43" customFormat="1" ht="15" customHeight="1">
      <x:c r="A556" s="69" t="n">
        <x:v>44751</x:v>
      </x:c>
      <x:c r="B556" s="70" t="n">
        <x:v>13.25</x:v>
      </x:c>
    </x:row>
    <x:row r="557" s="43" customFormat="1" ht="15" customHeight="1">
      <x:c r="A557" s="71" t="n">
        <x:v>44752</x:v>
      </x:c>
      <x:c r="B557" s="72" t="n">
        <x:v>13.25</x:v>
      </x:c>
    </x:row>
    <x:row r="558" s="43" customFormat="1" ht="15" customHeight="1">
      <x:c r="A558" s="69" t="n">
        <x:v>44753</x:v>
      </x:c>
      <x:c r="B558" s="70" t="n">
        <x:v>13.25</x:v>
      </x:c>
    </x:row>
    <x:row r="559" s="43" customFormat="1" ht="15" customHeight="1">
      <x:c r="A559" s="71" t="n">
        <x:v>44754</x:v>
      </x:c>
      <x:c r="B559" s="72" t="n">
        <x:v>13.25</x:v>
      </x:c>
    </x:row>
    <x:row r="560" s="43" customFormat="1" ht="15" customHeight="1">
      <x:c r="A560" s="69" t="n">
        <x:v>44755</x:v>
      </x:c>
      <x:c r="B560" s="70" t="n">
        <x:v>13.25</x:v>
      </x:c>
    </x:row>
    <x:row r="561" s="43" customFormat="1" ht="15" customHeight="1">
      <x:c r="A561" s="71" t="n">
        <x:v>44756</x:v>
      </x:c>
      <x:c r="B561" s="72" t="n">
        <x:v>13.25</x:v>
      </x:c>
    </x:row>
    <x:row r="562" s="43" customFormat="1" ht="15" customHeight="1">
      <x:c r="A562" s="69" t="n">
        <x:v>44757</x:v>
      </x:c>
      <x:c r="B562" s="70" t="n">
        <x:v>13.25</x:v>
      </x:c>
    </x:row>
    <x:row r="563" s="43" customFormat="1" ht="15" customHeight="1">
      <x:c r="A563" s="71" t="n">
        <x:v>44758</x:v>
      </x:c>
      <x:c r="B563" s="72" t="n">
        <x:v>13.25</x:v>
      </x:c>
    </x:row>
    <x:row r="564" s="43" customFormat="1" ht="15" customHeight="1">
      <x:c r="A564" s="69" t="n">
        <x:v>44759</x:v>
      </x:c>
      <x:c r="B564" s="70" t="n">
        <x:v>13.25</x:v>
      </x:c>
    </x:row>
    <x:row r="565" s="43" customFormat="1" ht="15" customHeight="1">
      <x:c r="A565" s="71" t="n">
        <x:v>44760</x:v>
      </x:c>
      <x:c r="B565" s="72" t="n">
        <x:v>13.25</x:v>
      </x:c>
    </x:row>
    <x:row r="566" s="43" customFormat="1" ht="15" customHeight="1">
      <x:c r="A566" s="69" t="n">
        <x:v>44761</x:v>
      </x:c>
      <x:c r="B566" s="70" t="n">
        <x:v>13.25</x:v>
      </x:c>
    </x:row>
    <x:row r="567" s="43" customFormat="1" ht="15" customHeight="1">
      <x:c r="A567" s="71" t="n">
        <x:v>44762</x:v>
      </x:c>
      <x:c r="B567" s="72" t="n">
        <x:v>13.25</x:v>
      </x:c>
    </x:row>
    <x:row r="568" s="43" customFormat="1" ht="15" customHeight="1">
      <x:c r="A568" s="69" t="n">
        <x:v>44763</x:v>
      </x:c>
      <x:c r="B568" s="70" t="n">
        <x:v>13.25</x:v>
      </x:c>
    </x:row>
    <x:row r="569" s="43" customFormat="1" ht="15" customHeight="1">
      <x:c r="A569" s="71" t="n">
        <x:v>44764</x:v>
      </x:c>
      <x:c r="B569" s="72" t="n">
        <x:v>13.25</x:v>
      </x:c>
    </x:row>
    <x:row r="570" s="43" customFormat="1" ht="15" customHeight="1">
      <x:c r="A570" s="69" t="n">
        <x:v>44765</x:v>
      </x:c>
      <x:c r="B570" s="70" t="n">
        <x:v>13.25</x:v>
      </x:c>
    </x:row>
    <x:row r="571" s="43" customFormat="1" ht="15" customHeight="1">
      <x:c r="A571" s="71" t="n">
        <x:v>44766</x:v>
      </x:c>
      <x:c r="B571" s="72" t="n">
        <x:v>13.25</x:v>
      </x:c>
    </x:row>
    <x:row r="572" s="43" customFormat="1" ht="15" customHeight="1">
      <x:c r="A572" s="69" t="n">
        <x:v>44767</x:v>
      </x:c>
      <x:c r="B572" s="70" t="n">
        <x:v>13.25</x:v>
      </x:c>
    </x:row>
    <x:row r="573" s="43" customFormat="1" ht="15" customHeight="1">
      <x:c r="A573" s="71" t="n">
        <x:v>44768</x:v>
      </x:c>
      <x:c r="B573" s="72" t="n">
        <x:v>13.25</x:v>
      </x:c>
    </x:row>
    <x:row r="574" s="43" customFormat="1" ht="15" customHeight="1">
      <x:c r="A574" s="69" t="n">
        <x:v>44769</x:v>
      </x:c>
      <x:c r="B574" s="70" t="n">
        <x:v>13.25</x:v>
      </x:c>
    </x:row>
    <x:row r="575" s="43" customFormat="1" ht="15" customHeight="1">
      <x:c r="A575" s="71" t="n">
        <x:v>44770</x:v>
      </x:c>
      <x:c r="B575" s="72" t="n">
        <x:v>13.25</x:v>
      </x:c>
    </x:row>
    <x:row r="576" s="43" customFormat="1" ht="15" customHeight="1">
      <x:c r="A576" s="69" t="n">
        <x:v>44771</x:v>
      </x:c>
      <x:c r="B576" s="70" t="n">
        <x:v>13.25</x:v>
      </x:c>
    </x:row>
    <x:row r="577" s="43" customFormat="1" ht="15" customHeight="1">
      <x:c r="A577" s="71" t="n">
        <x:v>44772</x:v>
      </x:c>
      <x:c r="B577" s="72" t="n">
        <x:v>13.25</x:v>
      </x:c>
    </x:row>
    <x:row r="578" s="43" customFormat="1" ht="15" customHeight="1">
      <x:c r="A578" s="69" t="n">
        <x:v>44773</x:v>
      </x:c>
      <x:c r="B578" s="70" t="n">
        <x:v>13.25</x:v>
      </x:c>
    </x:row>
    <x:row r="579" s="43" customFormat="1" ht="15" customHeight="1">
      <x:c r="A579" s="71" t="n">
        <x:v>44774</x:v>
      </x:c>
      <x:c r="B579" s="72" t="n">
        <x:v>13.25</x:v>
      </x:c>
    </x:row>
    <x:row r="580" s="43" customFormat="1" ht="15" customHeight="1">
      <x:c r="A580" s="69" t="n">
        <x:v>44775</x:v>
      </x:c>
      <x:c r="B580" s="70" t="n">
        <x:v>13.25</x:v>
      </x:c>
    </x:row>
    <x:row r="581" s="43" customFormat="1" ht="15" customHeight="1">
      <x:c r="A581" s="71" t="n">
        <x:v>44776</x:v>
      </x:c>
      <x:c r="B581" s="72" t="n">
        <x:v>13.25</x:v>
      </x:c>
    </x:row>
    <x:row r="582" s="43" customFormat="1" ht="15" customHeight="1">
      <x:c r="A582" s="69" t="n">
        <x:v>44777</x:v>
      </x:c>
      <x:c r="B582" s="70" t="n">
        <x:v>13.75</x:v>
      </x:c>
    </x:row>
    <x:row r="583" s="43" customFormat="1" ht="15" customHeight="1">
      <x:c r="A583" s="71" t="n">
        <x:v>44778</x:v>
      </x:c>
      <x:c r="B583" s="72" t="n">
        <x:v>13.75</x:v>
      </x:c>
    </x:row>
    <x:row r="584" s="43" customFormat="1" ht="15" customHeight="1">
      <x:c r="A584" s="69" t="n">
        <x:v>44779</x:v>
      </x:c>
      <x:c r="B584" s="70" t="n">
        <x:v>13.75</x:v>
      </x:c>
    </x:row>
    <x:row r="585" s="43" customFormat="1" ht="15" customHeight="1">
      <x:c r="A585" s="71" t="n">
        <x:v>44780</x:v>
      </x:c>
      <x:c r="B585" s="72" t="n">
        <x:v>13.75</x:v>
      </x:c>
    </x:row>
    <x:row r="586" s="43" customFormat="1" ht="15" customHeight="1">
      <x:c r="A586" s="69" t="n">
        <x:v>44781</x:v>
      </x:c>
      <x:c r="B586" s="70" t="n">
        <x:v>13.75</x:v>
      </x:c>
    </x:row>
    <x:row r="587" s="43" customFormat="1" ht="15" customHeight="1">
      <x:c r="A587" s="71" t="n">
        <x:v>44782</x:v>
      </x:c>
      <x:c r="B587" s="72" t="n">
        <x:v>13.75</x:v>
      </x:c>
    </x:row>
    <x:row r="588" s="43" customFormat="1" ht="15" customHeight="1">
      <x:c r="A588" s="69" t="n">
        <x:v>44783</x:v>
      </x:c>
      <x:c r="B588" s="70" t="n">
        <x:v>13.75</x:v>
      </x:c>
    </x:row>
    <x:row r="589" s="43" customFormat="1" ht="15" customHeight="1">
      <x:c r="A589" s="71" t="n">
        <x:v>44784</x:v>
      </x:c>
      <x:c r="B589" s="72" t="n">
        <x:v>13.75</x:v>
      </x:c>
    </x:row>
    <x:row r="590" s="43" customFormat="1" ht="15" customHeight="1">
      <x:c r="A590" s="69" t="n">
        <x:v>44785</x:v>
      </x:c>
      <x:c r="B590" s="70" t="n">
        <x:v>13.75</x:v>
      </x:c>
    </x:row>
    <x:row r="591" s="43" customFormat="1" ht="15" customHeight="1">
      <x:c r="A591" s="71" t="n">
        <x:v>44786</x:v>
      </x:c>
      <x:c r="B591" s="72" t="n">
        <x:v>13.75</x:v>
      </x:c>
    </x:row>
    <x:row r="592" s="43" customFormat="1" ht="15" customHeight="1">
      <x:c r="A592" s="69" t="n">
        <x:v>44787</x:v>
      </x:c>
      <x:c r="B592" s="70" t="n">
        <x:v>13.75</x:v>
      </x:c>
    </x:row>
    <x:row r="593" s="43" customFormat="1" ht="15" customHeight="1">
      <x:c r="A593" s="71" t="n">
        <x:v>44788</x:v>
      </x:c>
      <x:c r="B593" s="72" t="n">
        <x:v>13.75</x:v>
      </x:c>
    </x:row>
    <x:row r="594" s="43" customFormat="1" ht="15" customHeight="1">
      <x:c r="A594" s="69" t="n">
        <x:v>44789</x:v>
      </x:c>
      <x:c r="B594" s="70" t="n">
        <x:v>13.75</x:v>
      </x:c>
    </x:row>
    <x:row r="595" s="43" customFormat="1" ht="15" customHeight="1">
      <x:c r="A595" s="71" t="n">
        <x:v>44790</x:v>
      </x:c>
      <x:c r="B595" s="72" t="n">
        <x:v>13.75</x:v>
      </x:c>
    </x:row>
    <x:row r="596" s="43" customFormat="1" ht="15" customHeight="1">
      <x:c r="A596" s="69" t="n">
        <x:v>44791</x:v>
      </x:c>
      <x:c r="B596" s="70" t="n">
        <x:v>13.75</x:v>
      </x:c>
    </x:row>
    <x:row r="597" s="43" customFormat="1" ht="15" customHeight="1">
      <x:c r="A597" s="71" t="n">
        <x:v>44792</x:v>
      </x:c>
      <x:c r="B597" s="72" t="n">
        <x:v>13.75</x:v>
      </x:c>
    </x:row>
    <x:row r="598" s="43" customFormat="1" ht="15" customHeight="1">
      <x:c r="A598" s="69" t="n">
        <x:v>44793</x:v>
      </x:c>
      <x:c r="B598" s="70" t="n">
        <x:v>13.75</x:v>
      </x:c>
    </x:row>
    <x:row r="599" s="43" customFormat="1" ht="15" customHeight="1">
      <x:c r="A599" s="71" t="n">
        <x:v>44794</x:v>
      </x:c>
      <x:c r="B599" s="72" t="n">
        <x:v>13.75</x:v>
      </x:c>
    </x:row>
    <x:row r="600" s="43" customFormat="1" ht="15" customHeight="1">
      <x:c r="A600" s="69" t="n">
        <x:v>44795</x:v>
      </x:c>
      <x:c r="B600" s="70" t="n">
        <x:v>13.75</x:v>
      </x:c>
    </x:row>
    <x:row r="601" s="43" customFormat="1" ht="15" customHeight="1">
      <x:c r="A601" s="71" t="n">
        <x:v>44796</x:v>
      </x:c>
      <x:c r="B601" s="72" t="n">
        <x:v>13.75</x:v>
      </x:c>
    </x:row>
    <x:row r="602" s="43" customFormat="1" ht="15" customHeight="1">
      <x:c r="A602" s="69" t="n">
        <x:v>44797</x:v>
      </x:c>
      <x:c r="B602" s="70" t="n">
        <x:v>13.75</x:v>
      </x:c>
    </x:row>
    <x:row r="603" s="43" customFormat="1" ht="15" customHeight="1">
      <x:c r="A603" s="71" t="n">
        <x:v>44798</x:v>
      </x:c>
      <x:c r="B603" s="72" t="n">
        <x:v>13.75</x:v>
      </x:c>
    </x:row>
    <x:row r="604" s="43" customFormat="1" ht="15" customHeight="1">
      <x:c r="A604" s="69" t="n">
        <x:v>44799</x:v>
      </x:c>
      <x:c r="B604" s="70" t="n">
        <x:v>13.75</x:v>
      </x:c>
    </x:row>
    <x:row r="605" s="43" customFormat="1" ht="15" customHeight="1">
      <x:c r="A605" s="71" t="n">
        <x:v>44800</x:v>
      </x:c>
      <x:c r="B605" s="72" t="n">
        <x:v>13.75</x:v>
      </x:c>
    </x:row>
    <x:row r="606" s="43" customFormat="1" ht="15" customHeight="1">
      <x:c r="A606" s="69" t="n">
        <x:v>44801</x:v>
      </x:c>
      <x:c r="B606" s="70" t="n">
        <x:v>13.75</x:v>
      </x:c>
    </x:row>
    <x:row r="607" s="43" customFormat="1" ht="15" customHeight="1">
      <x:c r="A607" s="71" t="n">
        <x:v>44802</x:v>
      </x:c>
      <x:c r="B607" s="72" t="n">
        <x:v>13.75</x:v>
      </x:c>
    </x:row>
    <x:row r="608" s="43" customFormat="1" ht="15" customHeight="1">
      <x:c r="A608" s="69" t="n">
        <x:v>44803</x:v>
      </x:c>
      <x:c r="B608" s="70" t="n">
        <x:v>13.75</x:v>
      </x:c>
    </x:row>
    <x:row r="609" s="43" customFormat="1" ht="15" customHeight="1">
      <x:c r="A609" s="71" t="n">
        <x:v>44804</x:v>
      </x:c>
      <x:c r="B609" s="72" t="n">
        <x:v>13.75</x:v>
      </x:c>
    </x:row>
    <x:row r="610" s="43" customFormat="1" ht="15" customHeight="1">
      <x:c r="A610" s="69" t="n">
        <x:v>44805</x:v>
      </x:c>
      <x:c r="B610" s="70" t="n">
        <x:v>13.75</x:v>
      </x:c>
    </x:row>
    <x:row r="611" s="43" customFormat="1" ht="15" customHeight="1">
      <x:c r="A611" s="71" t="n">
        <x:v>44806</x:v>
      </x:c>
      <x:c r="B611" s="72" t="n">
        <x:v>13.75</x:v>
      </x:c>
    </x:row>
    <x:row r="612" s="43" customFormat="1" ht="15" customHeight="1">
      <x:c r="A612" s="69" t="n">
        <x:v>44807</x:v>
      </x:c>
      <x:c r="B612" s="70" t="n">
        <x:v>13.75</x:v>
      </x:c>
    </x:row>
    <x:row r="613" s="43" customFormat="1" ht="15" customHeight="1">
      <x:c r="A613" s="71" t="n">
        <x:v>44808</x:v>
      </x:c>
      <x:c r="B613" s="72" t="n">
        <x:v>13.75</x:v>
      </x:c>
    </x:row>
    <x:row r="614" s="43" customFormat="1" ht="15" customHeight="1">
      <x:c r="A614" s="69" t="n">
        <x:v>44809</x:v>
      </x:c>
      <x:c r="B614" s="70" t="n">
        <x:v>13.75</x:v>
      </x:c>
    </x:row>
    <x:row r="615" s="43" customFormat="1" ht="15" customHeight="1">
      <x:c r="A615" s="71" t="n">
        <x:v>44810</x:v>
      </x:c>
      <x:c r="B615" s="72" t="n">
        <x:v>13.75</x:v>
      </x:c>
    </x:row>
    <x:row r="616" s="43" customFormat="1" ht="15" customHeight="1">
      <x:c r="A616" s="69" t="n">
        <x:v>44811</x:v>
      </x:c>
      <x:c r="B616" s="70" t="n">
        <x:v>13.75</x:v>
      </x:c>
    </x:row>
    <x:row r="617" s="43" customFormat="1" ht="15" customHeight="1">
      <x:c r="A617" s="71" t="n">
        <x:v>44812</x:v>
      </x:c>
      <x:c r="B617" s="72" t="n">
        <x:v>13.75</x:v>
      </x:c>
    </x:row>
    <x:row r="618" s="43" customFormat="1" ht="15" customHeight="1">
      <x:c r="A618" s="69" t="n">
        <x:v>44813</x:v>
      </x:c>
      <x:c r="B618" s="70" t="n">
        <x:v>13.75</x:v>
      </x:c>
    </x:row>
    <x:row r="619" s="43" customFormat="1" ht="15" customHeight="1">
      <x:c r="A619" s="71" t="n">
        <x:v>44814</x:v>
      </x:c>
      <x:c r="B619" s="72" t="n">
        <x:v>13.75</x:v>
      </x:c>
    </x:row>
    <x:row r="620" s="43" customFormat="1" ht="15" customHeight="1">
      <x:c r="A620" s="69" t="n">
        <x:v>44815</x:v>
      </x:c>
      <x:c r="B620" s="70" t="n">
        <x:v>13.75</x:v>
      </x:c>
    </x:row>
    <x:row r="621" s="43" customFormat="1" ht="15" customHeight="1">
      <x:c r="A621" s="71" t="n">
        <x:v>44816</x:v>
      </x:c>
      <x:c r="B621" s="72" t="n">
        <x:v>13.75</x:v>
      </x:c>
    </x:row>
    <x:row r="622" s="43" customFormat="1" ht="15" customHeight="1">
      <x:c r="A622" s="69" t="n">
        <x:v>44817</x:v>
      </x:c>
      <x:c r="B622" s="70" t="n">
        <x:v>13.75</x:v>
      </x:c>
    </x:row>
    <x:row r="623" s="43" customFormat="1" ht="15" customHeight="1">
      <x:c r="A623" s="71" t="n">
        <x:v>44818</x:v>
      </x:c>
      <x:c r="B623" s="72" t="n">
        <x:v>13.75</x:v>
      </x:c>
    </x:row>
    <x:row r="624" s="43" customFormat="1" ht="15" customHeight="1">
      <x:c r="A624" s="69" t="n">
        <x:v>44819</x:v>
      </x:c>
      <x:c r="B624" s="70" t="n">
        <x:v>13.75</x:v>
      </x:c>
    </x:row>
    <x:row r="625" s="43" customFormat="1" ht="15" customHeight="1">
      <x:c r="A625" s="71" t="n">
        <x:v>44820</x:v>
      </x:c>
      <x:c r="B625" s="72" t="n">
        <x:v>13.75</x:v>
      </x:c>
    </x:row>
    <x:row r="626" s="43" customFormat="1" ht="15" customHeight="1">
      <x:c r="A626" s="69" t="n">
        <x:v>44821</x:v>
      </x:c>
      <x:c r="B626" s="70" t="n">
        <x:v>13.75</x:v>
      </x:c>
    </x:row>
    <x:row r="627" s="43" customFormat="1" ht="15" customHeight="1">
      <x:c r="A627" s="71" t="n">
        <x:v>44822</x:v>
      </x:c>
      <x:c r="B627" s="72" t="n">
        <x:v>13.75</x:v>
      </x:c>
    </x:row>
    <x:row r="628" s="43" customFormat="1" ht="15" customHeight="1">
      <x:c r="A628" s="69" t="n">
        <x:v>44823</x:v>
      </x:c>
      <x:c r="B628" s="70" t="n">
        <x:v>13.75</x:v>
      </x:c>
    </x:row>
    <x:row r="629" s="43" customFormat="1" ht="15" customHeight="1">
      <x:c r="A629" s="71" t="n">
        <x:v>44824</x:v>
      </x:c>
      <x:c r="B629" s="72" t="n">
        <x:v>13.75</x:v>
      </x:c>
    </x:row>
    <x:row r="630" s="43" customFormat="1" ht="15" customHeight="1">
      <x:c r="A630" s="69" t="n">
        <x:v>44825</x:v>
      </x:c>
      <x:c r="B630" s="70" t="n">
        <x:v>13.75</x:v>
      </x:c>
    </x:row>
    <x:row r="631" s="43" customFormat="1" ht="15" customHeight="1">
      <x:c r="A631" s="71" t="n">
        <x:v>44826</x:v>
      </x:c>
      <x:c r="B631" s="72" t="n">
        <x:v>13.75</x:v>
      </x:c>
    </x:row>
    <x:row r="632" s="43" customFormat="1" ht="15" customHeight="1">
      <x:c r="A632" s="69" t="n">
        <x:v>44827</x:v>
      </x:c>
      <x:c r="B632" s="70" t="n">
        <x:v>13.75</x:v>
      </x:c>
    </x:row>
    <x:row r="633" s="43" customFormat="1" ht="15" customHeight="1">
      <x:c r="A633" s="71" t="n">
        <x:v>44828</x:v>
      </x:c>
      <x:c r="B633" s="72" t="n">
        <x:v>13.75</x:v>
      </x:c>
    </x:row>
    <x:row r="634" s="43" customFormat="1" ht="15" customHeight="1">
      <x:c r="A634" s="69" t="n">
        <x:v>44829</x:v>
      </x:c>
      <x:c r="B634" s="70" t="n">
        <x:v>13.75</x:v>
      </x:c>
    </x:row>
    <x:row r="635" s="43" customFormat="1" ht="15" customHeight="1">
      <x:c r="A635" s="71" t="n">
        <x:v>44830</x:v>
      </x:c>
      <x:c r="B635" s="72" t="n">
        <x:v>13.75</x:v>
      </x:c>
    </x:row>
    <x:row r="636" s="43" customFormat="1" ht="15" customHeight="1">
      <x:c r="A636" s="69" t="n">
        <x:v>44831</x:v>
      </x:c>
      <x:c r="B636" s="70" t="n">
        <x:v>13.75</x:v>
      </x:c>
    </x:row>
    <x:row r="637" s="43" customFormat="1" ht="15" customHeight="1">
      <x:c r="A637" s="71" t="n">
        <x:v>44832</x:v>
      </x:c>
      <x:c r="B637" s="72" t="n">
        <x:v>13.75</x:v>
      </x:c>
    </x:row>
    <x:row r="638" s="43" customFormat="1" ht="15" customHeight="1">
      <x:c r="A638" s="69" t="n">
        <x:v>44833</x:v>
      </x:c>
      <x:c r="B638" s="70" t="n">
        <x:v>13.75</x:v>
      </x:c>
    </x:row>
    <x:row r="639" s="43" customFormat="1" ht="15" customHeight="1">
      <x:c r="A639" s="71" t="n">
        <x:v>44834</x:v>
      </x:c>
      <x:c r="B639" s="72" t="n">
        <x:v>13.75</x:v>
      </x:c>
    </x:row>
    <x:row r="640" s="43" customFormat="1" ht="15" customHeight="1">
      <x:c r="A640" s="69" t="n">
        <x:v>44835</x:v>
      </x:c>
      <x:c r="B640" s="70" t="n">
        <x:v>13.75</x:v>
      </x:c>
    </x:row>
    <x:row r="641" s="43" customFormat="1" ht="15" customHeight="1">
      <x:c r="A641" s="71" t="n">
        <x:v>44836</x:v>
      </x:c>
      <x:c r="B641" s="72" t="n">
        <x:v>13.75</x:v>
      </x:c>
    </x:row>
    <x:row r="642" s="43" customFormat="1" ht="15" customHeight="1">
      <x:c r="A642" s="69" t="n">
        <x:v>44837</x:v>
      </x:c>
      <x:c r="B642" s="70" t="n">
        <x:v>13.75</x:v>
      </x:c>
    </x:row>
    <x:row r="643" s="43" customFormat="1" ht="15" customHeight="1">
      <x:c r="A643" s="71" t="n">
        <x:v>44838</x:v>
      </x:c>
      <x:c r="B643" s="72" t="n">
        <x:v>13.75</x:v>
      </x:c>
    </x:row>
    <x:row r="644" s="43" customFormat="1" ht="15" customHeight="1">
      <x:c r="A644" s="69" t="n">
        <x:v>44839</x:v>
      </x:c>
      <x:c r="B644" s="70" t="n">
        <x:v>13.75</x:v>
      </x:c>
    </x:row>
    <x:row r="645" s="43" customFormat="1" ht="15" customHeight="1">
      <x:c r="A645" s="71" t="n">
        <x:v>44840</x:v>
      </x:c>
      <x:c r="B645" s="72" t="n">
        <x:v>13.75</x:v>
      </x:c>
    </x:row>
    <x:row r="646" s="43" customFormat="1" ht="15" customHeight="1">
      <x:c r="A646" s="69" t="n">
        <x:v>44841</x:v>
      </x:c>
      <x:c r="B646" s="70" t="n">
        <x:v>13.75</x:v>
      </x:c>
    </x:row>
    <x:row r="647" s="43" customFormat="1" ht="15" customHeight="1">
      <x:c r="A647" s="71" t="n">
        <x:v>44842</x:v>
      </x:c>
      <x:c r="B647" s="72" t="n">
        <x:v>13.75</x:v>
      </x:c>
    </x:row>
    <x:row r="648" s="43" customFormat="1" ht="15" customHeight="1">
      <x:c r="A648" s="69" t="n">
        <x:v>44843</x:v>
      </x:c>
      <x:c r="B648" s="70" t="n">
        <x:v>13.75</x:v>
      </x:c>
    </x:row>
    <x:row r="649" s="43" customFormat="1" ht="15" customHeight="1">
      <x:c r="A649" s="71" t="n">
        <x:v>44844</x:v>
      </x:c>
      <x:c r="B649" s="72" t="n">
        <x:v>13.75</x:v>
      </x:c>
    </x:row>
    <x:row r="650" s="43" customFormat="1" ht="15" customHeight="1">
      <x:c r="A650" s="69" t="n">
        <x:v>44845</x:v>
      </x:c>
      <x:c r="B650" s="70" t="n">
        <x:v>13.75</x:v>
      </x:c>
    </x:row>
    <x:row r="651" s="43" customFormat="1" ht="15" customHeight="1">
      <x:c r="A651" s="71" t="n">
        <x:v>44846</x:v>
      </x:c>
      <x:c r="B651" s="72" t="n">
        <x:v>13.75</x:v>
      </x:c>
    </x:row>
    <x:row r="652" s="43" customFormat="1" ht="15" customHeight="1">
      <x:c r="A652" s="69" t="n">
        <x:v>44847</x:v>
      </x:c>
      <x:c r="B652" s="70" t="n">
        <x:v>13.75</x:v>
      </x:c>
    </x:row>
    <x:row r="653" s="43" customFormat="1" ht="15" customHeight="1">
      <x:c r="A653" s="71" t="n">
        <x:v>44848</x:v>
      </x:c>
      <x:c r="B653" s="72" t="n">
        <x:v>13.75</x:v>
      </x:c>
    </x:row>
    <x:row r="654" s="43" customFormat="1" ht="15" customHeight="1">
      <x:c r="A654" s="69" t="n">
        <x:v>44849</x:v>
      </x:c>
      <x:c r="B654" s="70" t="n">
        <x:v>13.75</x:v>
      </x:c>
    </x:row>
    <x:row r="655" s="43" customFormat="1" ht="15" customHeight="1">
      <x:c r="A655" s="71" t="n">
        <x:v>44850</x:v>
      </x:c>
      <x:c r="B655" s="72" t="n">
        <x:v>13.75</x:v>
      </x:c>
    </x:row>
    <x:row r="656" s="43" customFormat="1" ht="15" customHeight="1">
      <x:c r="A656" s="69" t="n">
        <x:v>44851</x:v>
      </x:c>
      <x:c r="B656" s="70" t="n">
        <x:v>13.75</x:v>
      </x:c>
    </x:row>
    <x:row r="657" s="43" customFormat="1" ht="15" customHeight="1">
      <x:c r="A657" s="71" t="n">
        <x:v>44852</x:v>
      </x:c>
      <x:c r="B657" s="72" t="n">
        <x:v>13.75</x:v>
      </x:c>
    </x:row>
    <x:row r="658" s="43" customFormat="1" ht="15" customHeight="1">
      <x:c r="A658" s="69" t="n">
        <x:v>44853</x:v>
      </x:c>
      <x:c r="B658" s="70" t="n">
        <x:v>13.75</x:v>
      </x:c>
    </x:row>
    <x:row r="659" s="43" customFormat="1" ht="15" customHeight="1">
      <x:c r="A659" s="71" t="n">
        <x:v>44854</x:v>
      </x:c>
      <x:c r="B659" s="72" t="n">
        <x:v>13.75</x:v>
      </x:c>
    </x:row>
    <x:row r="660" s="43" customFormat="1" ht="15" customHeight="1">
      <x:c r="A660" s="69" t="n">
        <x:v>44855</x:v>
      </x:c>
      <x:c r="B660" s="70" t="n">
        <x:v>13.75</x:v>
      </x:c>
    </x:row>
    <x:row r="661" s="43" customFormat="1" ht="15" customHeight="1">
      <x:c r="A661" s="71" t="n">
        <x:v>44856</x:v>
      </x:c>
      <x:c r="B661" s="72" t="n">
        <x:v>13.75</x:v>
      </x:c>
    </x:row>
    <x:row r="662" s="43" customFormat="1" ht="15" customHeight="1">
      <x:c r="A662" s="69" t="n">
        <x:v>44857</x:v>
      </x:c>
      <x:c r="B662" s="70" t="n">
        <x:v>13.75</x:v>
      </x:c>
    </x:row>
    <x:row r="663" s="43" customFormat="1" ht="15" customHeight="1">
      <x:c r="A663" s="71" t="n">
        <x:v>44858</x:v>
      </x:c>
      <x:c r="B663" s="72" t="n">
        <x:v>13.75</x:v>
      </x:c>
    </x:row>
    <x:row r="664" s="43" customFormat="1" ht="15" customHeight="1">
      <x:c r="A664" s="69" t="n">
        <x:v>44859</x:v>
      </x:c>
      <x:c r="B664" s="70" t="n">
        <x:v>13.75</x:v>
      </x:c>
    </x:row>
    <x:row r="665" s="43" customFormat="1" ht="15" customHeight="1">
      <x:c r="A665" s="71" t="n">
        <x:v>44860</x:v>
      </x:c>
      <x:c r="B665" s="72" t="n">
        <x:v>13.75</x:v>
      </x:c>
    </x:row>
    <x:row r="666" s="43" customFormat="1" ht="15" customHeight="1">
      <x:c r="A666" s="69" t="n">
        <x:v>44861</x:v>
      </x:c>
      <x:c r="B666" s="70" t="n">
        <x:v>13.75</x:v>
      </x:c>
    </x:row>
    <x:row r="667" s="43" customFormat="1" ht="15" customHeight="1">
      <x:c r="A667" s="71" t="n">
        <x:v>44862</x:v>
      </x:c>
      <x:c r="B667" s="72" t="n">
        <x:v>13.75</x:v>
      </x:c>
    </x:row>
    <x:row r="668" s="43" customFormat="1" ht="15" customHeight="1">
      <x:c r="A668" s="69" t="n">
        <x:v>44863</x:v>
      </x:c>
      <x:c r="B668" s="70" t="n">
        <x:v>13.75</x:v>
      </x:c>
    </x:row>
    <x:row r="669" s="43" customFormat="1" ht="15" customHeight="1">
      <x:c r="A669" s="71" t="n">
        <x:v>44864</x:v>
      </x:c>
      <x:c r="B669" s="72" t="n">
        <x:v>13.75</x:v>
      </x:c>
    </x:row>
    <x:row r="670" s="43" customFormat="1" ht="15" customHeight="1">
      <x:c r="A670" s="69" t="n">
        <x:v>44865</x:v>
      </x:c>
      <x:c r="B670" s="70" t="n">
        <x:v>13.75</x:v>
      </x:c>
    </x:row>
    <x:row r="671" s="43" customFormat="1" ht="15" customHeight="1">
      <x:c r="A671" s="71" t="n">
        <x:v>44866</x:v>
      </x:c>
      <x:c r="B671" s="72" t="n">
        <x:v>13.75</x:v>
      </x:c>
    </x:row>
    <x:row r="672" s="43" customFormat="1" ht="15" customHeight="1">
      <x:c r="A672" s="69" t="n">
        <x:v>44867</x:v>
      </x:c>
      <x:c r="B672" s="70" t="n">
        <x:v>13.75</x:v>
      </x:c>
    </x:row>
    <x:row r="673" s="43" customFormat="1" ht="15" customHeight="1">
      <x:c r="A673" s="71" t="n">
        <x:v>44868</x:v>
      </x:c>
      <x:c r="B673" s="72" t="n">
        <x:v>13.75</x:v>
      </x:c>
    </x:row>
    <x:row r="674" s="43" customFormat="1" ht="15" customHeight="1">
      <x:c r="A674" s="69" t="n">
        <x:v>44869</x:v>
      </x:c>
      <x:c r="B674" s="70" t="n">
        <x:v>13.75</x:v>
      </x:c>
    </x:row>
    <x:row r="675" s="43" customFormat="1" ht="15" customHeight="1">
      <x:c r="A675" s="71" t="n">
        <x:v>44870</x:v>
      </x:c>
      <x:c r="B675" s="72" t="n">
        <x:v>13.75</x:v>
      </x:c>
    </x:row>
    <x:row r="676" s="43" customFormat="1" ht="15" customHeight="1">
      <x:c r="A676" s="69" t="n">
        <x:v>44871</x:v>
      </x:c>
      <x:c r="B676" s="70" t="n">
        <x:v>13.75</x:v>
      </x:c>
    </x:row>
    <x:row r="677" s="43" customFormat="1" ht="15" customHeight="1">
      <x:c r="A677" s="71" t="n">
        <x:v>44872</x:v>
      </x:c>
      <x:c r="B677" s="72" t="n">
        <x:v>13.75</x:v>
      </x:c>
    </x:row>
    <x:row r="678" s="43" customFormat="1" ht="15" customHeight="1">
      <x:c r="A678" s="69" t="n">
        <x:v>44873</x:v>
      </x:c>
      <x:c r="B678" s="70" t="n">
        <x:v>13.75</x:v>
      </x:c>
    </x:row>
    <x:row r="679" s="43" customFormat="1" ht="15" customHeight="1">
      <x:c r="A679" s="71" t="n">
        <x:v>44874</x:v>
      </x:c>
      <x:c r="B679" s="72" t="n">
        <x:v>13.75</x:v>
      </x:c>
    </x:row>
    <x:row r="680" s="43" customFormat="1" ht="15" customHeight="1">
      <x:c r="A680" s="69" t="n">
        <x:v>44875</x:v>
      </x:c>
      <x:c r="B680" s="70" t="n">
        <x:v>13.75</x:v>
      </x:c>
    </x:row>
    <x:row r="681" s="43" customFormat="1" ht="15" customHeight="1">
      <x:c r="A681" s="71" t="n">
        <x:v>44876</x:v>
      </x:c>
      <x:c r="B681" s="72" t="n">
        <x:v>13.75</x:v>
      </x:c>
    </x:row>
    <x:row r="682" s="43" customFormat="1" ht="15" customHeight="1">
      <x:c r="A682" s="69" t="n">
        <x:v>44877</x:v>
      </x:c>
      <x:c r="B682" s="70" t="n">
        <x:v>13.75</x:v>
      </x:c>
    </x:row>
    <x:row r="683" s="43" customFormat="1" ht="15" customHeight="1">
      <x:c r="A683" s="71" t="n">
        <x:v>44878</x:v>
      </x:c>
      <x:c r="B683" s="72" t="n">
        <x:v>13.75</x:v>
      </x:c>
    </x:row>
    <x:row r="684" s="43" customFormat="1" ht="15" customHeight="1">
      <x:c r="A684" s="69" t="n">
        <x:v>44879</x:v>
      </x:c>
      <x:c r="B684" s="70" t="n">
        <x:v>13.75</x:v>
      </x:c>
    </x:row>
    <x:row r="685" s="43" customFormat="1" ht="15" customHeight="1">
      <x:c r="A685" s="71" t="n">
        <x:v>44880</x:v>
      </x:c>
      <x:c r="B685" s="72" t="n">
        <x:v>13.75</x:v>
      </x:c>
    </x:row>
    <x:row r="686" s="43" customFormat="1" ht="15" customHeight="1">
      <x:c r="A686" s="69" t="n">
        <x:v>44881</x:v>
      </x:c>
      <x:c r="B686" s="70" t="n">
        <x:v>13.75</x:v>
      </x:c>
    </x:row>
    <x:row r="687" s="43" customFormat="1" ht="15" customHeight="1">
      <x:c r="A687" s="71" t="n">
        <x:v>44882</x:v>
      </x:c>
      <x:c r="B687" s="72" t="n">
        <x:v>13.75</x:v>
      </x:c>
    </x:row>
    <x:row r="688" s="43" customFormat="1" ht="15" customHeight="1">
      <x:c r="A688" s="69" t="n">
        <x:v>44883</x:v>
      </x:c>
      <x:c r="B688" s="70" t="n">
        <x:v>13.75</x:v>
      </x:c>
    </x:row>
    <x:row r="689" s="43" customFormat="1" ht="15" customHeight="1">
      <x:c r="A689" s="71" t="n">
        <x:v>44884</x:v>
      </x:c>
      <x:c r="B689" s="72" t="n">
        <x:v>13.75</x:v>
      </x:c>
    </x:row>
    <x:row r="690" s="43" customFormat="1" ht="15" customHeight="1">
      <x:c r="A690" s="69" t="n">
        <x:v>44885</x:v>
      </x:c>
      <x:c r="B690" s="70" t="n">
        <x:v>13.75</x:v>
      </x:c>
    </x:row>
    <x:row r="691" s="43" customFormat="1" ht="15" customHeight="1">
      <x:c r="A691" s="71" t="n">
        <x:v>44886</x:v>
      </x:c>
      <x:c r="B691" s="72" t="n">
        <x:v>13.75</x:v>
      </x:c>
    </x:row>
    <x:row r="692" s="43" customFormat="1" ht="15" customHeight="1">
      <x:c r="A692" s="69" t="n">
        <x:v>44887</x:v>
      </x:c>
      <x:c r="B692" s="70" t="n">
        <x:v>13.75</x:v>
      </x:c>
    </x:row>
    <x:row r="693" s="43" customFormat="1" ht="15" customHeight="1">
      <x:c r="A693" s="71" t="n">
        <x:v>44888</x:v>
      </x:c>
      <x:c r="B693" s="72" t="n">
        <x:v>13.75</x:v>
      </x:c>
    </x:row>
    <x:row r="694" s="43" customFormat="1" ht="15" customHeight="1">
      <x:c r="A694" s="69" t="n">
        <x:v>44889</x:v>
      </x:c>
      <x:c r="B694" s="70" t="n">
        <x:v>13.75</x:v>
      </x:c>
    </x:row>
    <x:row r="695" s="43" customFormat="1" ht="15" customHeight="1">
      <x:c r="A695" s="71" t="n">
        <x:v>44890</x:v>
      </x:c>
      <x:c r="B695" s="72" t="n">
        <x:v>13.75</x:v>
      </x:c>
    </x:row>
    <x:row r="696" s="43" customFormat="1" ht="15" customHeight="1">
      <x:c r="A696" s="69" t="n">
        <x:v>44891</x:v>
      </x:c>
      <x:c r="B696" s="70" t="n">
        <x:v>13.75</x:v>
      </x:c>
    </x:row>
    <x:row r="697" s="43" customFormat="1" ht="15" customHeight="1">
      <x:c r="A697" s="71" t="n">
        <x:v>44892</x:v>
      </x:c>
      <x:c r="B697" s="72" t="n">
        <x:v>13.75</x:v>
      </x:c>
    </x:row>
    <x:row r="698" s="43" customFormat="1" ht="15" customHeight="1">
      <x:c r="A698" s="69" t="n">
        <x:v>44893</x:v>
      </x:c>
      <x:c r="B698" s="70" t="n">
        <x:v>13.75</x:v>
      </x:c>
    </x:row>
    <x:row r="699" s="43" customFormat="1" ht="15" customHeight="1">
      <x:c r="A699" s="71" t="n">
        <x:v>44894</x:v>
      </x:c>
      <x:c r="B699" s="72" t="n">
        <x:v>13.75</x:v>
      </x:c>
    </x:row>
    <x:row r="700" s="43" customFormat="1" ht="15" customHeight="1">
      <x:c r="A700" s="69" t="n">
        <x:v>44895</x:v>
      </x:c>
      <x:c r="B700" s="70" t="n">
        <x:v>13.75</x:v>
      </x:c>
    </x:row>
    <x:row r="701" s="43" customFormat="1" ht="15" customHeight="1">
      <x:c r="A701" s="71" t="n">
        <x:v>44896</x:v>
      </x:c>
      <x:c r="B701" s="72" t="n">
        <x:v>13.75</x:v>
      </x:c>
    </x:row>
    <x:row r="702" s="43" customFormat="1" ht="15" customHeight="1">
      <x:c r="A702" s="69" t="n">
        <x:v>44897</x:v>
      </x:c>
      <x:c r="B702" s="70" t="n">
        <x:v>13.75</x:v>
      </x:c>
    </x:row>
    <x:row r="703" s="43" customFormat="1" ht="15" customHeight="1">
      <x:c r="A703" s="71" t="n">
        <x:v>44898</x:v>
      </x:c>
      <x:c r="B703" s="72" t="n">
        <x:v>13.75</x:v>
      </x:c>
    </x:row>
    <x:row r="704" s="43" customFormat="1" ht="15" customHeight="1">
      <x:c r="A704" s="69" t="n">
        <x:v>44899</x:v>
      </x:c>
      <x:c r="B704" s="70" t="n">
        <x:v>13.75</x:v>
      </x:c>
    </x:row>
    <x:row r="705" s="43" customFormat="1" ht="15" customHeight="1">
      <x:c r="A705" s="71" t="n">
        <x:v>44900</x:v>
      </x:c>
      <x:c r="B705" s="72" t="n">
        <x:v>13.75</x:v>
      </x:c>
    </x:row>
    <x:row r="706" s="43" customFormat="1" ht="15" customHeight="1">
      <x:c r="A706" s="69" t="n">
        <x:v>44901</x:v>
      </x:c>
      <x:c r="B706" s="70" t="n">
        <x:v>13.75</x:v>
      </x:c>
    </x:row>
    <x:row r="707" s="43" customFormat="1" ht="15" customHeight="1">
      <x:c r="A707" s="71" t="n">
        <x:v>44902</x:v>
      </x:c>
      <x:c r="B707" s="72" t="n">
        <x:v>13.75</x:v>
      </x:c>
    </x:row>
    <x:row r="708" s="43" customFormat="1" ht="15" customHeight="1">
      <x:c r="A708" s="69" t="n">
        <x:v>44903</x:v>
      </x:c>
      <x:c r="B708" s="70" t="n">
        <x:v>13.75</x:v>
      </x:c>
    </x:row>
    <x:row r="709" s="43" customFormat="1" ht="15" customHeight="1">
      <x:c r="A709" s="71" t="n">
        <x:v>44904</x:v>
      </x:c>
      <x:c r="B709" s="72" t="n">
        <x:v>13.75</x:v>
      </x:c>
    </x:row>
    <x:row r="710" s="43" customFormat="1" ht="15" customHeight="1">
      <x:c r="A710" s="69" t="n">
        <x:v>44905</x:v>
      </x:c>
      <x:c r="B710" s="70" t="n">
        <x:v>13.75</x:v>
      </x:c>
    </x:row>
    <x:row r="711" s="43" customFormat="1" ht="15" customHeight="1">
      <x:c r="A711" s="71" t="n">
        <x:v>44906</x:v>
      </x:c>
      <x:c r="B711" s="72" t="n">
        <x:v>13.75</x:v>
      </x:c>
    </x:row>
    <x:row r="712" s="43" customFormat="1" ht="15" customHeight="1">
      <x:c r="A712" s="69" t="n">
        <x:v>44907</x:v>
      </x:c>
      <x:c r="B712" s="70" t="n">
        <x:v>13.75</x:v>
      </x:c>
    </x:row>
    <x:row r="713" s="43" customFormat="1" ht="15" customHeight="1">
      <x:c r="A713" s="71" t="n">
        <x:v>44908</x:v>
      </x:c>
      <x:c r="B713" s="72" t="n">
        <x:v>13.75</x:v>
      </x:c>
    </x:row>
    <x:row r="714" s="43" customFormat="1" ht="15" customHeight="1">
      <x:c r="A714" s="69" t="n">
        <x:v>44909</x:v>
      </x:c>
      <x:c r="B714" s="70" t="n">
        <x:v>13.75</x:v>
      </x:c>
    </x:row>
    <x:row r="715" s="43" customFormat="1" ht="15" customHeight="1">
      <x:c r="A715" s="71" t="n">
        <x:v>44910</x:v>
      </x:c>
      <x:c r="B715" s="72" t="n">
        <x:v>13.75</x:v>
      </x:c>
    </x:row>
    <x:row r="716" s="43" customFormat="1" ht="15" customHeight="1">
      <x:c r="A716" s="69" t="n">
        <x:v>44911</x:v>
      </x:c>
      <x:c r="B716" s="70" t="n">
        <x:v>13.75</x:v>
      </x:c>
    </x:row>
    <x:row r="717" s="43" customFormat="1" ht="15" customHeight="1">
      <x:c r="A717" s="71" t="n">
        <x:v>44912</x:v>
      </x:c>
      <x:c r="B717" s="72" t="n">
        <x:v>13.75</x:v>
      </x:c>
    </x:row>
    <x:row r="718" s="43" customFormat="1" ht="15" customHeight="1">
      <x:c r="A718" s="69" t="n">
        <x:v>44913</x:v>
      </x:c>
      <x:c r="B718" s="70" t="n">
        <x:v>13.75</x:v>
      </x:c>
    </x:row>
    <x:row r="719" s="43" customFormat="1" ht="15" customHeight="1">
      <x:c r="A719" s="71" t="n">
        <x:v>44914</x:v>
      </x:c>
      <x:c r="B719" s="72" t="n">
        <x:v>13.75</x:v>
      </x:c>
    </x:row>
    <x:row r="720" s="43" customFormat="1" ht="15" customHeight="1">
      <x:c r="A720" s="69" t="n">
        <x:v>44915</x:v>
      </x:c>
      <x:c r="B720" s="70" t="n">
        <x:v>13.75</x:v>
      </x:c>
    </x:row>
    <x:row r="721" s="43" customFormat="1" ht="15" customHeight="1">
      <x:c r="A721" s="71" t="n">
        <x:v>44916</x:v>
      </x:c>
      <x:c r="B721" s="72" t="n">
        <x:v>13.75</x:v>
      </x:c>
    </x:row>
    <x:row r="722" s="43" customFormat="1" ht="15" customHeight="1">
      <x:c r="A722" s="69" t="n">
        <x:v>44917</x:v>
      </x:c>
      <x:c r="B722" s="70" t="n">
        <x:v>13.75</x:v>
      </x:c>
    </x:row>
    <x:row r="723" s="43" customFormat="1" ht="15" customHeight="1">
      <x:c r="A723" s="71" t="n">
        <x:v>44918</x:v>
      </x:c>
      <x:c r="B723" s="72" t="n">
        <x:v>13.75</x:v>
      </x:c>
    </x:row>
    <x:row r="724" s="43" customFormat="1" ht="15" customHeight="1">
      <x:c r="A724" s="69" t="n">
        <x:v>44919</x:v>
      </x:c>
      <x:c r="B724" s="70" t="n">
        <x:v>13.75</x:v>
      </x:c>
    </x:row>
    <x:row r="725" s="43" customFormat="1" ht="15" customHeight="1">
      <x:c r="A725" s="71" t="n">
        <x:v>44920</x:v>
      </x:c>
      <x:c r="B725" s="72" t="n">
        <x:v>13.75</x:v>
      </x:c>
    </x:row>
    <x:row r="726" s="43" customFormat="1" ht="15" customHeight="1">
      <x:c r="A726" s="69" t="n">
        <x:v>44921</x:v>
      </x:c>
      <x:c r="B726" s="70" t="n">
        <x:v>13.75</x:v>
      </x:c>
    </x:row>
    <x:row r="727" s="43" customFormat="1" ht="15" customHeight="1">
      <x:c r="A727" s="71" t="n">
        <x:v>44922</x:v>
      </x:c>
      <x:c r="B727" s="72" t="n">
        <x:v>13.75</x:v>
      </x:c>
    </x:row>
    <x:row r="728" s="43" customFormat="1" ht="15" customHeight="1">
      <x:c r="A728" s="69" t="n">
        <x:v>44923</x:v>
      </x:c>
      <x:c r="B728" s="70" t="n">
        <x:v>13.75</x:v>
      </x:c>
    </x:row>
    <x:row r="729" s="43" customFormat="1" ht="15" customHeight="1">
      <x:c r="A729" s="71" t="n">
        <x:v>44924</x:v>
      </x:c>
      <x:c r="B729" s="72" t="n">
        <x:v>13.75</x:v>
      </x:c>
    </x:row>
    <x:row r="730" s="43" customFormat="1" ht="15" customHeight="1">
      <x:c r="A730" s="69" t="n">
        <x:v>44925</x:v>
      </x:c>
      <x:c r="B730" s="70" t="n">
        <x:v>13.75</x:v>
      </x:c>
    </x:row>
    <x:row r="731" s="43" customFormat="1" ht="15" customHeight="1">
      <x:c r="A731" s="71" t="n">
        <x:v>44926</x:v>
      </x:c>
      <x:c r="B731" s="72" t="n">
        <x:v>13.75</x:v>
      </x:c>
    </x:row>
    <x:row r="732" s="43" customFormat="1" ht="15" customHeight="1">
      <x:c r="A732" s="69" t="n">
        <x:v>44927</x:v>
      </x:c>
      <x:c r="B732" s="70" t="n">
        <x:v>13.75</x:v>
      </x:c>
    </x:row>
    <x:row r="733" s="43" customFormat="1" ht="15" customHeight="1">
      <x:c r="A733" s="71" t="n">
        <x:v>44928</x:v>
      </x:c>
      <x:c r="B733" s="72" t="n">
        <x:v>13.75</x:v>
      </x:c>
    </x:row>
    <x:row r="734" s="43" customFormat="1" ht="15" customHeight="1">
      <x:c r="A734" s="69" t="n">
        <x:v>44929</x:v>
      </x:c>
      <x:c r="B734" s="70" t="n">
        <x:v>13.75</x:v>
      </x:c>
    </x:row>
    <x:row r="735" s="43" customFormat="1" ht="15" customHeight="1">
      <x:c r="A735" s="71" t="n">
        <x:v>44930</x:v>
      </x:c>
      <x:c r="B735" s="72" t="n">
        <x:v>13.75</x:v>
      </x:c>
    </x:row>
    <x:row r="736" s="43" customFormat="1" ht="15" customHeight="1">
      <x:c r="A736" s="69" t="n">
        <x:v>44931</x:v>
      </x:c>
      <x:c r="B736" s="70" t="n">
        <x:v>13.75</x:v>
      </x:c>
    </x:row>
    <x:row r="737" s="43" customFormat="1" ht="15" customHeight="1">
      <x:c r="A737" s="71" t="n">
        <x:v>44932</x:v>
      </x:c>
      <x:c r="B737" s="72" t="n">
        <x:v>13.75</x:v>
      </x:c>
    </x:row>
    <x:row r="738" s="43" customFormat="1" ht="15" customHeight="1">
      <x:c r="A738" s="69" t="n">
        <x:v>44933</x:v>
      </x:c>
      <x:c r="B738" s="70" t="n">
        <x:v>13.75</x:v>
      </x:c>
    </x:row>
    <x:row r="739" s="43" customFormat="1" ht="15" customHeight="1">
      <x:c r="A739" s="71" t="n">
        <x:v>44934</x:v>
      </x:c>
      <x:c r="B739" s="72" t="n">
        <x:v>13.75</x:v>
      </x:c>
    </x:row>
    <x:row r="740" s="43" customFormat="1" ht="15" customHeight="1">
      <x:c r="A740" s="69" t="n">
        <x:v>44935</x:v>
      </x:c>
      <x:c r="B740" s="70" t="n">
        <x:v>13.75</x:v>
      </x:c>
    </x:row>
    <x:row r="741" s="43" customFormat="1" ht="15" customHeight="1">
      <x:c r="A741" s="71" t="n">
        <x:v>44936</x:v>
      </x:c>
      <x:c r="B741" s="72" t="n">
        <x:v>13.75</x:v>
      </x:c>
    </x:row>
    <x:row r="742" s="43" customFormat="1" ht="15" customHeight="1">
      <x:c r="A742" s="69" t="n">
        <x:v>44937</x:v>
      </x:c>
      <x:c r="B742" s="70" t="n">
        <x:v>13.75</x:v>
      </x:c>
    </x:row>
    <x:row r="743" s="43" customFormat="1" ht="15" customHeight="1">
      <x:c r="A743" s="71" t="n">
        <x:v>44938</x:v>
      </x:c>
      <x:c r="B743" s="72" t="n">
        <x:v>13.75</x:v>
      </x:c>
    </x:row>
    <x:row r="744" s="43" customFormat="1" ht="15" customHeight="1">
      <x:c r="A744" s="69" t="n">
        <x:v>44939</x:v>
      </x:c>
      <x:c r="B744" s="70" t="n">
        <x:v>13.75</x:v>
      </x:c>
    </x:row>
    <x:row r="745" s="43" customFormat="1" ht="15" customHeight="1">
      <x:c r="A745" s="71" t="n">
        <x:v>44940</x:v>
      </x:c>
      <x:c r="B745" s="72" t="n">
        <x:v>13.75</x:v>
      </x:c>
    </x:row>
    <x:row r="746" s="43" customFormat="1" ht="15" customHeight="1">
      <x:c r="A746" s="69" t="n">
        <x:v>44941</x:v>
      </x:c>
      <x:c r="B746" s="70" t="n">
        <x:v>13.75</x:v>
      </x:c>
    </x:row>
    <x:row r="747" s="43" customFormat="1" ht="15" customHeight="1">
      <x:c r="A747" s="71" t="n">
        <x:v>44942</x:v>
      </x:c>
      <x:c r="B747" s="72" t="n">
        <x:v>13.75</x:v>
      </x:c>
    </x:row>
    <x:row r="748" s="43" customFormat="1" ht="15" customHeight="1">
      <x:c r="A748" s="69" t="n">
        <x:v>44943</x:v>
      </x:c>
      <x:c r="B748" s="70" t="n">
        <x:v>13.75</x:v>
      </x:c>
    </x:row>
    <x:row r="749" s="43" customFormat="1" ht="15" customHeight="1">
      <x:c r="A749" s="71" t="n">
        <x:v>44944</x:v>
      </x:c>
      <x:c r="B749" s="72" t="n">
        <x:v>13.75</x:v>
      </x:c>
    </x:row>
    <x:row r="750" s="43" customFormat="1" ht="15" customHeight="1">
      <x:c r="A750" s="69" t="n">
        <x:v>44945</x:v>
      </x:c>
      <x:c r="B750" s="70" t="n">
        <x:v>13.75</x:v>
      </x:c>
    </x:row>
    <x:row r="751" s="43" customFormat="1" ht="15" customHeight="1">
      <x:c r="A751" s="71" t="n">
        <x:v>44946</x:v>
      </x:c>
      <x:c r="B751" s="72" t="n">
        <x:v>13.75</x:v>
      </x:c>
    </x:row>
    <x:row r="752" s="43" customFormat="1" ht="15" customHeight="1">
      <x:c r="A752" s="69" t="n">
        <x:v>44947</x:v>
      </x:c>
      <x:c r="B752" s="70" t="n">
        <x:v>13.75</x:v>
      </x:c>
    </x:row>
    <x:row r="753" s="43" customFormat="1" ht="15" customHeight="1">
      <x:c r="A753" s="71" t="n">
        <x:v>44948</x:v>
      </x:c>
      <x:c r="B753" s="72" t="n">
        <x:v>13.75</x:v>
      </x:c>
    </x:row>
    <x:row r="754" s="43" customFormat="1" ht="15" customHeight="1">
      <x:c r="A754" s="69" t="n">
        <x:v>44949</x:v>
      </x:c>
      <x:c r="B754" s="70" t="n">
        <x:v>13.75</x:v>
      </x:c>
    </x:row>
    <x:row r="755" s="43" customFormat="1" ht="15" customHeight="1">
      <x:c r="A755" s="71" t="n">
        <x:v>44950</x:v>
      </x:c>
      <x:c r="B755" s="72" t="n">
        <x:v>13.75</x:v>
      </x:c>
    </x:row>
    <x:row r="756" s="43" customFormat="1" ht="15" customHeight="1">
      <x:c r="A756" s="69" t="n">
        <x:v>44951</x:v>
      </x:c>
      <x:c r="B756" s="70" t="n">
        <x:v>13.75</x:v>
      </x:c>
    </x:row>
    <x:row r="757" s="43" customFormat="1" ht="15" customHeight="1">
      <x:c r="A757" s="71" t="n">
        <x:v>44952</x:v>
      </x:c>
      <x:c r="B757" s="72" t="n">
        <x:v>13.75</x:v>
      </x:c>
    </x:row>
    <x:row r="758" s="43" customFormat="1" ht="15" customHeight="1">
      <x:c r="A758" s="69" t="n">
        <x:v>44953</x:v>
      </x:c>
      <x:c r="B758" s="70" t="n">
        <x:v>13.75</x:v>
      </x:c>
    </x:row>
    <x:row r="759" s="43" customFormat="1" ht="15" customHeight="1">
      <x:c r="A759" s="71" t="n">
        <x:v>44954</x:v>
      </x:c>
      <x:c r="B759" s="72" t="n">
        <x:v>13.75</x:v>
      </x:c>
    </x:row>
    <x:row r="760" s="43" customFormat="1" ht="15" customHeight="1">
      <x:c r="A760" s="69" t="n">
        <x:v>44955</x:v>
      </x:c>
      <x:c r="B760" s="70" t="n">
        <x:v>13.75</x:v>
      </x:c>
    </x:row>
    <x:row r="761" s="43" customFormat="1" ht="15" customHeight="1">
      <x:c r="A761" s="71" t="n">
        <x:v>44956</x:v>
      </x:c>
      <x:c r="B761" s="72" t="n">
        <x:v>13.75</x:v>
      </x:c>
    </x:row>
    <x:row r="762" s="43" customFormat="1" ht="15" customHeight="1">
      <x:c r="A762" s="69" t="n">
        <x:v>44957</x:v>
      </x:c>
      <x:c r="B762" s="70" t="n">
        <x:v>13.75</x:v>
      </x:c>
    </x:row>
    <x:row r="763" s="43" customFormat="1" ht="15" customHeight="1">
      <x:c r="A763" s="71" t="n">
        <x:v>44958</x:v>
      </x:c>
      <x:c r="B763" s="72" t="n">
        <x:v>13.75</x:v>
      </x:c>
    </x:row>
    <x:row r="764" s="43" customFormat="1" ht="15" customHeight="1">
      <x:c r="A764" s="69" t="n">
        <x:v>44959</x:v>
      </x:c>
      <x:c r="B764" s="70" t="n">
        <x:v>13.75</x:v>
      </x:c>
    </x:row>
    <x:row r="765" s="43" customFormat="1" ht="15" customHeight="1">
      <x:c r="A765" s="71" t="n">
        <x:v>44960</x:v>
      </x:c>
      <x:c r="B765" s="72" t="n">
        <x:v>13.75</x:v>
      </x:c>
    </x:row>
    <x:row r="766" s="43" customFormat="1" ht="15" customHeight="1">
      <x:c r="A766" s="69" t="n">
        <x:v>44961</x:v>
      </x:c>
      <x:c r="B766" s="70" t="n">
        <x:v>13.75</x:v>
      </x:c>
    </x:row>
    <x:row r="767" s="43" customFormat="1" ht="15" customHeight="1">
      <x:c r="A767" s="71" t="n">
        <x:v>44962</x:v>
      </x:c>
      <x:c r="B767" s="72" t="n">
        <x:v>13.75</x:v>
      </x:c>
    </x:row>
    <x:row r="768" s="43" customFormat="1" ht="15" customHeight="1">
      <x:c r="A768" s="69" t="n">
        <x:v>44963</x:v>
      </x:c>
      <x:c r="B768" s="70" t="n">
        <x:v>13.75</x:v>
      </x:c>
    </x:row>
    <x:row r="769" s="43" customFormat="1" ht="15" customHeight="1">
      <x:c r="A769" s="71" t="n">
        <x:v>44964</x:v>
      </x:c>
      <x:c r="B769" s="72" t="n">
        <x:v>13.75</x:v>
      </x:c>
    </x:row>
    <x:row r="770" s="43" customFormat="1" ht="15" customHeight="1">
      <x:c r="A770" s="69" t="n">
        <x:v>44965</x:v>
      </x:c>
      <x:c r="B770" s="70" t="n">
        <x:v>13.75</x:v>
      </x:c>
    </x:row>
    <x:row r="771" s="43" customFormat="1" ht="15" customHeight="1">
      <x:c r="A771" s="71" t="n">
        <x:v>44966</x:v>
      </x:c>
      <x:c r="B771" s="72" t="n">
        <x:v>13.75</x:v>
      </x:c>
    </x:row>
    <x:row r="772" s="43" customFormat="1" ht="15" customHeight="1">
      <x:c r="A772" s="69" t="n">
        <x:v>44967</x:v>
      </x:c>
      <x:c r="B772" s="70" t="n">
        <x:v>13.75</x:v>
      </x:c>
    </x:row>
    <x:row r="773" s="43" customFormat="1" ht="15" customHeight="1">
      <x:c r="A773" s="71" t="n">
        <x:v>44968</x:v>
      </x:c>
      <x:c r="B773" s="72" t="n">
        <x:v>13.75</x:v>
      </x:c>
    </x:row>
    <x:row r="774" s="43" customFormat="1" ht="15" customHeight="1">
      <x:c r="A774" s="69" t="n">
        <x:v>44969</x:v>
      </x:c>
      <x:c r="B774" s="70" t="n">
        <x:v>13.75</x:v>
      </x:c>
    </x:row>
    <x:row r="775" s="43" customFormat="1" ht="15" customHeight="1">
      <x:c r="A775" s="71" t="n">
        <x:v>44970</x:v>
      </x:c>
      <x:c r="B775" s="72" t="n">
        <x:v>13.75</x:v>
      </x:c>
    </x:row>
    <x:row r="776" s="43" customFormat="1" ht="15" customHeight="1">
      <x:c r="A776" s="69" t="n">
        <x:v>44971</x:v>
      </x:c>
      <x:c r="B776" s="70" t="n">
        <x:v>13.75</x:v>
      </x:c>
    </x:row>
    <x:row r="777" s="43" customFormat="1" ht="15" customHeight="1">
      <x:c r="A777" s="71" t="n">
        <x:v>44972</x:v>
      </x:c>
      <x:c r="B777" s="72" t="n">
        <x:v>13.75</x:v>
      </x:c>
    </x:row>
    <x:row r="778" s="43" customFormat="1" ht="15" customHeight="1">
      <x:c r="A778" s="69" t="n">
        <x:v>44973</x:v>
      </x:c>
      <x:c r="B778" s="70" t="n">
        <x:v>13.75</x:v>
      </x:c>
    </x:row>
    <x:row r="779" s="43" customFormat="1" ht="15" customHeight="1">
      <x:c r="A779" s="71" t="n">
        <x:v>44974</x:v>
      </x:c>
      <x:c r="B779" s="72" t="n">
        <x:v>13.75</x:v>
      </x:c>
    </x:row>
    <x:row r="780" s="43" customFormat="1" ht="15" customHeight="1">
      <x:c r="A780" s="69" t="n">
        <x:v>44975</x:v>
      </x:c>
      <x:c r="B780" s="70" t="n">
        <x:v>13.75</x:v>
      </x:c>
    </x:row>
    <x:row r="781" s="43" customFormat="1" ht="15" customHeight="1">
      <x:c r="A781" s="71" t="n">
        <x:v>44976</x:v>
      </x:c>
      <x:c r="B781" s="72" t="n">
        <x:v>13.75</x:v>
      </x:c>
    </x:row>
    <x:row r="782" s="43" customFormat="1" ht="15" customHeight="1">
      <x:c r="A782" s="69" t="n">
        <x:v>44977</x:v>
      </x:c>
      <x:c r="B782" s="70" t="n">
        <x:v>13.75</x:v>
      </x:c>
    </x:row>
    <x:row r="783" s="43" customFormat="1" ht="15" customHeight="1">
      <x:c r="A783" s="71" t="n">
        <x:v>44978</x:v>
      </x:c>
      <x:c r="B783" s="72" t="n">
        <x:v>13.75</x:v>
      </x:c>
    </x:row>
    <x:row r="784" s="43" customFormat="1" ht="15" customHeight="1">
      <x:c r="A784" s="69" t="n">
        <x:v>44979</x:v>
      </x:c>
      <x:c r="B784" s="70" t="n">
        <x:v>13.75</x:v>
      </x:c>
    </x:row>
    <x:row r="785" s="43" customFormat="1" ht="15" customHeight="1">
      <x:c r="A785" s="71" t="n">
        <x:v>44980</x:v>
      </x:c>
      <x:c r="B785" s="72" t="n">
        <x:v>13.75</x:v>
      </x:c>
    </x:row>
    <x:row r="786" s="43" customFormat="1" ht="15" customHeight="1">
      <x:c r="A786" s="69" t="n">
        <x:v>44981</x:v>
      </x:c>
      <x:c r="B786" s="70" t="n">
        <x:v>13.75</x:v>
      </x:c>
    </x:row>
    <x:row r="787" s="43" customFormat="1" ht="15" customHeight="1">
      <x:c r="A787" s="71" t="n">
        <x:v>44982</x:v>
      </x:c>
      <x:c r="B787" s="72" t="n">
        <x:v>13.75</x:v>
      </x:c>
    </x:row>
    <x:row r="788" s="43" customFormat="1" ht="15" customHeight="1">
      <x:c r="A788" s="69" t="n">
        <x:v>44983</x:v>
      </x:c>
      <x:c r="B788" s="70" t="n">
        <x:v>13.75</x:v>
      </x:c>
    </x:row>
    <x:row r="789" s="43" customFormat="1" ht="15" customHeight="1">
      <x:c r="A789" s="71" t="n">
        <x:v>44984</x:v>
      </x:c>
      <x:c r="B789" s="72" t="n">
        <x:v>13.75</x:v>
      </x:c>
    </x:row>
    <x:row r="790" s="43" customFormat="1" ht="15" customHeight="1">
      <x:c r="A790" s="69" t="n">
        <x:v>44985</x:v>
      </x:c>
      <x:c r="B790" s="70" t="n">
        <x:v>13.75</x:v>
      </x:c>
    </x:row>
    <x:row r="791" s="43" customFormat="1" ht="15" customHeight="1">
      <x:c r="A791" s="71" t="n">
        <x:v>44986</x:v>
      </x:c>
      <x:c r="B791" s="72" t="n">
        <x:v>13.75</x:v>
      </x:c>
    </x:row>
    <x:row r="792" s="43" customFormat="1" ht="15" customHeight="1">
      <x:c r="A792" s="69" t="n">
        <x:v>44987</x:v>
      </x:c>
      <x:c r="B792" s="70" t="n">
        <x:v>13.75</x:v>
      </x:c>
    </x:row>
    <x:row r="793" s="43" customFormat="1" ht="15" customHeight="1">
      <x:c r="A793" s="71" t="n">
        <x:v>44988</x:v>
      </x:c>
      <x:c r="B793" s="72" t="n">
        <x:v>13.75</x:v>
      </x:c>
    </x:row>
    <x:row r="794" s="43" customFormat="1" ht="15" customHeight="1">
      <x:c r="A794" s="69" t="n">
        <x:v>44989</x:v>
      </x:c>
      <x:c r="B794" s="70" t="n">
        <x:v>13.75</x:v>
      </x:c>
    </x:row>
    <x:row r="795" s="43" customFormat="1" ht="15" customHeight="1">
      <x:c r="A795" s="71" t="n">
        <x:v>44990</x:v>
      </x:c>
      <x:c r="B795" s="72" t="n">
        <x:v>13.75</x:v>
      </x:c>
    </x:row>
    <x:row r="796" s="43" customFormat="1" ht="15" customHeight="1">
      <x:c r="A796" s="69" t="n">
        <x:v>44991</x:v>
      </x:c>
      <x:c r="B796" s="70" t="n">
        <x:v>13.75</x:v>
      </x:c>
    </x:row>
    <x:row r="797" s="43" customFormat="1" ht="15" customHeight="1">
      <x:c r="A797" s="71" t="n">
        <x:v>44992</x:v>
      </x:c>
      <x:c r="B797" s="72" t="n">
        <x:v>13.75</x:v>
      </x:c>
    </x:row>
    <x:row r="798" s="43" customFormat="1" ht="15" customHeight="1">
      <x:c r="A798" s="69" t="n">
        <x:v>44993</x:v>
      </x:c>
      <x:c r="B798" s="70" t="n">
        <x:v>13.75</x:v>
      </x:c>
    </x:row>
    <x:row r="799" s="43" customFormat="1" ht="15" customHeight="1">
      <x:c r="A799" s="71" t="n">
        <x:v>44994</x:v>
      </x:c>
      <x:c r="B799" s="72" t="n">
        <x:v>13.75</x:v>
      </x:c>
    </x:row>
    <x:row r="800" s="43" customFormat="1" ht="15" customHeight="1">
      <x:c r="A800" s="69" t="n">
        <x:v>44995</x:v>
      </x:c>
      <x:c r="B800" s="70" t="n">
        <x:v>13.75</x:v>
      </x:c>
    </x:row>
    <x:row r="801" s="43" customFormat="1" ht="15" customHeight="1">
      <x:c r="A801" s="71" t="n">
        <x:v>44996</x:v>
      </x:c>
      <x:c r="B801" s="72" t="n">
        <x:v>13.75</x:v>
      </x:c>
    </x:row>
    <x:row r="802" s="43" customFormat="1" ht="15" customHeight="1">
      <x:c r="A802" s="69" t="n">
        <x:v>44997</x:v>
      </x:c>
      <x:c r="B802" s="70" t="n">
        <x:v>13.75</x:v>
      </x:c>
    </x:row>
    <x:row r="803" s="43" customFormat="1" ht="15" customHeight="1">
      <x:c r="A803" s="71" t="n">
        <x:v>44998</x:v>
      </x:c>
      <x:c r="B803" s="72" t="n">
        <x:v>13.75</x:v>
      </x:c>
    </x:row>
    <x:row r="804" s="43" customFormat="1" ht="15" customHeight="1">
      <x:c r="A804" s="69" t="n">
        <x:v>44999</x:v>
      </x:c>
      <x:c r="B804" s="70" t="n">
        <x:v>13.75</x:v>
      </x:c>
    </x:row>
    <x:row r="805" s="43" customFormat="1" ht="15" customHeight="1">
      <x:c r="A805" s="71" t="n">
        <x:v>45000</x:v>
      </x:c>
      <x:c r="B805" s="72" t="n">
        <x:v>13.75</x:v>
      </x:c>
    </x:row>
    <x:row r="806" s="43" customFormat="1" ht="15" customHeight="1">
      <x:c r="A806" s="69" t="n">
        <x:v>45001</x:v>
      </x:c>
      <x:c r="B806" s="70" t="n">
        <x:v>13.75</x:v>
      </x:c>
    </x:row>
    <x:row r="807" s="43" customFormat="1" ht="15" customHeight="1">
      <x:c r="A807" s="71" t="n">
        <x:v>45002</x:v>
      </x:c>
      <x:c r="B807" s="72" t="n">
        <x:v>13.75</x:v>
      </x:c>
    </x:row>
    <x:row r="808" s="43" customFormat="1" ht="15" customHeight="1">
      <x:c r="A808" s="69" t="n">
        <x:v>45003</x:v>
      </x:c>
      <x:c r="B808" s="70" t="n">
        <x:v>13.75</x:v>
      </x:c>
    </x:row>
    <x:row r="809" s="43" customFormat="1" ht="15" customHeight="1">
      <x:c r="A809" s="71" t="n">
        <x:v>45004</x:v>
      </x:c>
      <x:c r="B809" s="72" t="n">
        <x:v>13.75</x:v>
      </x:c>
    </x:row>
    <x:row r="810" s="43" customFormat="1" ht="15" customHeight="1">
      <x:c r="A810" s="69" t="n">
        <x:v>45005</x:v>
      </x:c>
      <x:c r="B810" s="70" t="n">
        <x:v>13.75</x:v>
      </x:c>
    </x:row>
    <x:row r="811" s="43" customFormat="1" ht="15" customHeight="1">
      <x:c r="A811" s="71" t="n">
        <x:v>45006</x:v>
      </x:c>
      <x:c r="B811" s="72" t="n">
        <x:v>13.75</x:v>
      </x:c>
    </x:row>
    <x:row r="812" s="43" customFormat="1" ht="15" customHeight="1">
      <x:c r="A812" s="69" t="n">
        <x:v>45007</x:v>
      </x:c>
      <x:c r="B812" s="70" t="n">
        <x:v>13.75</x:v>
      </x:c>
    </x:row>
    <x:row r="813" s="43" customFormat="1" ht="15" customHeight="1">
      <x:c r="A813" s="71" t="n">
        <x:v>45008</x:v>
      </x:c>
      <x:c r="B813" s="72" t="n">
        <x:v>13.75</x:v>
      </x:c>
    </x:row>
    <x:row r="814" s="43" customFormat="1" ht="15" customHeight="1">
      <x:c r="A814" s="69" t="n">
        <x:v>45009</x:v>
      </x:c>
      <x:c r="B814" s="70" t="n">
        <x:v>13.75</x:v>
      </x:c>
    </x:row>
    <x:row r="815" s="43" customFormat="1" ht="15" customHeight="1">
      <x:c r="A815" s="71" t="n">
        <x:v>45010</x:v>
      </x:c>
      <x:c r="B815" s="72" t="n">
        <x:v>13.75</x:v>
      </x:c>
    </x:row>
    <x:row r="816" s="43" customFormat="1" ht="15" customHeight="1">
      <x:c r="A816" s="69" t="n">
        <x:v>45011</x:v>
      </x:c>
      <x:c r="B816" s="70" t="n">
        <x:v>13.75</x:v>
      </x:c>
    </x:row>
    <x:row r="817" s="43" customFormat="1" ht="15" customHeight="1">
      <x:c r="A817" s="71" t="n">
        <x:v>45012</x:v>
      </x:c>
      <x:c r="B817" s="72" t="n">
        <x:v>13.75</x:v>
      </x:c>
    </x:row>
    <x:row r="818" s="43" customFormat="1" ht="15" customHeight="1">
      <x:c r="A818" s="69" t="n">
        <x:v>45013</x:v>
      </x:c>
      <x:c r="B818" s="70" t="n">
        <x:v>13.75</x:v>
      </x:c>
    </x:row>
    <x:row r="819" s="43" customFormat="1" ht="15" customHeight="1">
      <x:c r="A819" s="71" t="n">
        <x:v>45014</x:v>
      </x:c>
      <x:c r="B819" s="72" t="n">
        <x:v>13.75</x:v>
      </x:c>
    </x:row>
    <x:row r="820" s="43" customFormat="1" ht="15" customHeight="1">
      <x:c r="A820" s="69" t="n">
        <x:v>45015</x:v>
      </x:c>
      <x:c r="B820" s="70" t="n">
        <x:v>13.75</x:v>
      </x:c>
    </x:row>
    <x:row r="821" s="43" customFormat="1" ht="15" customHeight="1">
      <x:c r="A821" s="71" t="n">
        <x:v>45016</x:v>
      </x:c>
      <x:c r="B821" s="72" t="n">
        <x:v>13.75</x:v>
      </x:c>
    </x:row>
    <x:row r="822" s="43" customFormat="1" ht="15" customHeight="1">
      <x:c r="A822" s="69" t="n">
        <x:v>45017</x:v>
      </x:c>
      <x:c r="B822" s="70" t="n">
        <x:v>13.75</x:v>
      </x:c>
    </x:row>
    <x:row r="823" s="43" customFormat="1" ht="15" customHeight="1">
      <x:c r="A823" s="71" t="n">
        <x:v>45018</x:v>
      </x:c>
      <x:c r="B823" s="72" t="n">
        <x:v>13.75</x:v>
      </x:c>
    </x:row>
    <x:row r="824" s="43" customFormat="1" ht="15" customHeight="1">
      <x:c r="A824" s="69" t="n">
        <x:v>45019</x:v>
      </x:c>
      <x:c r="B824" s="70" t="n">
        <x:v>13.75</x:v>
      </x:c>
    </x:row>
    <x:row r="825" s="43" customFormat="1" ht="15" customHeight="1">
      <x:c r="A825" s="71" t="n">
        <x:v>45020</x:v>
      </x:c>
      <x:c r="B825" s="72" t="n">
        <x:v>13.75</x:v>
      </x:c>
    </x:row>
    <x:row r="826" s="43" customFormat="1" ht="15" customHeight="1">
      <x:c r="A826" s="69" t="n">
        <x:v>45021</x:v>
      </x:c>
      <x:c r="B826" s="70" t="n">
        <x:v>13.75</x:v>
      </x:c>
    </x:row>
    <x:row r="827" s="43" customFormat="1" ht="15" customHeight="1">
      <x:c r="A827" s="71" t="n">
        <x:v>45022</x:v>
      </x:c>
      <x:c r="B827" s="72" t="n">
        <x:v>13.75</x:v>
      </x:c>
    </x:row>
    <x:row r="828" s="43" customFormat="1" ht="15" customHeight="1">
      <x:c r="A828" s="69" t="n">
        <x:v>45023</x:v>
      </x:c>
      <x:c r="B828" s="70" t="n">
        <x:v>13.75</x:v>
      </x:c>
    </x:row>
    <x:row r="829" s="43" customFormat="1" ht="15" customHeight="1">
      <x:c r="A829" s="71" t="n">
        <x:v>45024</x:v>
      </x:c>
      <x:c r="B829" s="72" t="n">
        <x:v>13.75</x:v>
      </x:c>
    </x:row>
    <x:row r="830" s="43" customFormat="1" ht="15" customHeight="1">
      <x:c r="A830" s="69" t="n">
        <x:v>45025</x:v>
      </x:c>
      <x:c r="B830" s="70" t="n">
        <x:v>13.75</x:v>
      </x:c>
    </x:row>
    <x:row r="831" s="43" customFormat="1" ht="15" customHeight="1">
      <x:c r="A831" s="71" t="n">
        <x:v>45026</x:v>
      </x:c>
      <x:c r="B831" s="72" t="n">
        <x:v>13.75</x:v>
      </x:c>
    </x:row>
    <x:row r="832" s="43" customFormat="1" ht="15" customHeight="1">
      <x:c r="A832" s="69" t="n">
        <x:v>45027</x:v>
      </x:c>
      <x:c r="B832" s="70" t="n">
        <x:v>13.75</x:v>
      </x:c>
    </x:row>
    <x:row r="833" s="43" customFormat="1" ht="15" customHeight="1">
      <x:c r="A833" s="71" t="n">
        <x:v>45028</x:v>
      </x:c>
      <x:c r="B833" s="72" t="n">
        <x:v>13.75</x:v>
      </x:c>
    </x:row>
    <x:row r="834" s="43" customFormat="1" ht="15" customHeight="1">
      <x:c r="A834" s="69" t="n">
        <x:v>45029</x:v>
      </x:c>
      <x:c r="B834" s="70" t="n">
        <x:v>13.75</x:v>
      </x:c>
    </x:row>
    <x:row r="835" s="43" customFormat="1" ht="15" customHeight="1">
      <x:c r="A835" s="71" t="n">
        <x:v>45030</x:v>
      </x:c>
      <x:c r="B835" s="72" t="n">
        <x:v>13.75</x:v>
      </x:c>
    </x:row>
    <x:row r="836" s="43" customFormat="1" ht="15" customHeight="1">
      <x:c r="A836" s="69" t="n">
        <x:v>45031</x:v>
      </x:c>
      <x:c r="B836" s="70" t="n">
        <x:v>13.75</x:v>
      </x:c>
    </x:row>
    <x:row r="837" s="43" customFormat="1" ht="15" customHeight="1">
      <x:c r="A837" s="71" t="n">
        <x:v>45032</x:v>
      </x:c>
      <x:c r="B837" s="72" t="n">
        <x:v>13.75</x:v>
      </x:c>
    </x:row>
    <x:row r="838" s="43" customFormat="1" ht="15" customHeight="1">
      <x:c r="A838" s="69" t="n">
        <x:v>45033</x:v>
      </x:c>
      <x:c r="B838" s="70" t="n">
        <x:v>13.75</x:v>
      </x:c>
    </x:row>
    <x:row r="839" s="43" customFormat="1" ht="15" customHeight="1">
      <x:c r="A839" s="71" t="n">
        <x:v>45034</x:v>
      </x:c>
      <x:c r="B839" s="72" t="n">
        <x:v>13.75</x:v>
      </x:c>
    </x:row>
    <x:row r="840" s="43" customFormat="1" ht="15" customHeight="1">
      <x:c r="A840" s="69" t="n">
        <x:v>45035</x:v>
      </x:c>
      <x:c r="B840" s="70" t="n">
        <x:v>13.75</x:v>
      </x:c>
    </x:row>
    <x:row r="841" s="43" customFormat="1" ht="15" customHeight="1">
      <x:c r="A841" s="71" t="n">
        <x:v>45036</x:v>
      </x:c>
      <x:c r="B841" s="72" t="n">
        <x:v>13.75</x:v>
      </x:c>
    </x:row>
    <x:row r="842" s="43" customFormat="1" ht="15" customHeight="1">
      <x:c r="A842" s="69" t="n">
        <x:v>45037</x:v>
      </x:c>
      <x:c r="B842" s="70" t="n">
        <x:v>13.75</x:v>
      </x:c>
    </x:row>
    <x:row r="843" s="43" customFormat="1" ht="15" customHeight="1">
      <x:c r="A843" s="71" t="n">
        <x:v>45038</x:v>
      </x:c>
      <x:c r="B843" s="72" t="n">
        <x:v>13.75</x:v>
      </x:c>
    </x:row>
    <x:row r="844" s="43" customFormat="1" ht="15" customHeight="1">
      <x:c r="A844" s="69" t="n">
        <x:v>45039</x:v>
      </x:c>
      <x:c r="B844" s="70" t="n">
        <x:v>13.75</x:v>
      </x:c>
    </x:row>
    <x:row r="845" s="43" customFormat="1" ht="15" customHeight="1">
      <x:c r="A845" s="71" t="n">
        <x:v>45040</x:v>
      </x:c>
      <x:c r="B845" s="72" t="n">
        <x:v>13.75</x:v>
      </x:c>
    </x:row>
    <x:row r="846" s="43" customFormat="1" ht="15" customHeight="1">
      <x:c r="A846" s="69" t="n">
        <x:v>45041</x:v>
      </x:c>
      <x:c r="B846" s="70" t="n">
        <x:v>13.75</x:v>
      </x:c>
    </x:row>
    <x:row r="847" s="43" customFormat="1" ht="15" customHeight="1">
      <x:c r="A847" s="71" t="n">
        <x:v>45042</x:v>
      </x:c>
      <x:c r="B847" s="72" t="n">
        <x:v>13.75</x:v>
      </x:c>
    </x:row>
    <x:row r="848" s="43" customFormat="1" ht="15" customHeight="1">
      <x:c r="A848" s="69" t="n">
        <x:v>45043</x:v>
      </x:c>
      <x:c r="B848" s="70" t="n">
        <x:v>13.75</x:v>
      </x:c>
    </x:row>
    <x:row r="849" s="43" customFormat="1" ht="15" customHeight="1">
      <x:c r="A849" s="71" t="n">
        <x:v>45044</x:v>
      </x:c>
      <x:c r="B849" s="72" t="n">
        <x:v>13.75</x:v>
      </x:c>
    </x:row>
    <x:row r="850" s="43" customFormat="1" ht="15" customHeight="1">
      <x:c r="A850" s="69" t="n">
        <x:v>45045</x:v>
      </x:c>
      <x:c r="B850" s="70" t="n">
        <x:v>13.75</x:v>
      </x:c>
    </x:row>
    <x:row r="851" s="43" customFormat="1" ht="15" customHeight="1">
      <x:c r="A851" s="71" t="n">
        <x:v>45046</x:v>
      </x:c>
      <x:c r="B851" s="72" t="n">
        <x:v>13.75</x:v>
      </x:c>
    </x:row>
    <x:row r="852" s="43" customFormat="1" ht="15" customHeight="1">
      <x:c r="A852" s="69" t="n">
        <x:v>45047</x:v>
      </x:c>
      <x:c r="B852" s="70" t="n">
        <x:v>13.75</x:v>
      </x:c>
    </x:row>
    <x:row r="853" s="43" customFormat="1" ht="15" customHeight="1">
      <x:c r="A853" s="71" t="n">
        <x:v>45048</x:v>
      </x:c>
      <x:c r="B853" s="72" t="n">
        <x:v>13.75</x:v>
      </x:c>
    </x:row>
    <x:row r="854" s="43" customFormat="1" ht="15" customHeight="1">
      <x:c r="A854" s="69" t="n">
        <x:v>45049</x:v>
      </x:c>
      <x:c r="B854" s="70" t="n">
        <x:v>13.75</x:v>
      </x:c>
    </x:row>
    <x:row r="855" s="43" customFormat="1" ht="15" customHeight="1">
      <x:c r="A855" s="71" t="n">
        <x:v>45050</x:v>
      </x:c>
      <x:c r="B855" s="72" t="n">
        <x:v>13.75</x:v>
      </x:c>
    </x:row>
    <x:row r="856" s="43" customFormat="1" ht="15" customHeight="1">
      <x:c r="A856" s="69" t="n">
        <x:v>45051</x:v>
      </x:c>
      <x:c r="B856" s="70" t="n">
        <x:v>13.75</x:v>
      </x:c>
    </x:row>
    <x:row r="857" s="43" customFormat="1" ht="15" customHeight="1">
      <x:c r="A857" s="71" t="n">
        <x:v>45052</x:v>
      </x:c>
      <x:c r="B857" s="72" t="n">
        <x:v>13.75</x:v>
      </x:c>
    </x:row>
    <x:row r="858" s="43" customFormat="1" ht="15" customHeight="1">
      <x:c r="A858" s="69" t="n">
        <x:v>45053</x:v>
      </x:c>
      <x:c r="B858" s="70" t="n">
        <x:v>13.75</x:v>
      </x:c>
    </x:row>
    <x:row r="859" s="43" customFormat="1" ht="15" customHeight="1">
      <x:c r="A859" s="71" t="n">
        <x:v>45054</x:v>
      </x:c>
      <x:c r="B859" s="72" t="n">
        <x:v>13.75</x:v>
      </x:c>
    </x:row>
    <x:row r="860" s="43" customFormat="1" ht="15" customHeight="1">
      <x:c r="A860" s="69" t="n">
        <x:v>45055</x:v>
      </x:c>
      <x:c r="B860" s="70" t="n">
        <x:v>13.75</x:v>
      </x:c>
    </x:row>
    <x:row r="861" s="43" customFormat="1" ht="15" customHeight="1">
      <x:c r="A861" s="71" t="n">
        <x:v>45056</x:v>
      </x:c>
      <x:c r="B861" s="72" t="n">
        <x:v>13.75</x:v>
      </x:c>
    </x:row>
    <x:row r="862" s="43" customFormat="1" ht="15" customHeight="1">
      <x:c r="A862" s="69" t="n">
        <x:v>45057</x:v>
      </x:c>
      <x:c r="B862" s="70" t="n">
        <x:v>13.75</x:v>
      </x:c>
    </x:row>
    <x:row r="863" s="43" customFormat="1" ht="15" customHeight="1">
      <x:c r="A863" s="71" t="n">
        <x:v>45058</x:v>
      </x:c>
      <x:c r="B863" s="72" t="n">
        <x:v>13.75</x:v>
      </x:c>
    </x:row>
    <x:row r="864" s="43" customFormat="1" ht="15" customHeight="1">
      <x:c r="A864" s="69" t="n">
        <x:v>45059</x:v>
      </x:c>
      <x:c r="B864" s="70" t="n">
        <x:v>13.75</x:v>
      </x:c>
    </x:row>
    <x:row r="865" s="43" customFormat="1" ht="15" customHeight="1">
      <x:c r="A865" s="71" t="n">
        <x:v>45060</x:v>
      </x:c>
      <x:c r="B865" s="72" t="n">
        <x:v>13.75</x:v>
      </x:c>
    </x:row>
    <x:row r="866" s="43" customFormat="1" ht="15" customHeight="1">
      <x:c r="A866" s="69" t="n">
        <x:v>45061</x:v>
      </x:c>
      <x:c r="B866" s="70" t="n">
        <x:v>13.75</x:v>
      </x:c>
    </x:row>
    <x:row r="867" s="43" customFormat="1" ht="15" customHeight="1">
      <x:c r="A867" s="71" t="n">
        <x:v>45062</x:v>
      </x:c>
      <x:c r="B867" s="72" t="n">
        <x:v>13.75</x:v>
      </x:c>
    </x:row>
    <x:row r="868" s="43" customFormat="1" ht="15" customHeight="1">
      <x:c r="A868" s="69" t="n">
        <x:v>45063</x:v>
      </x:c>
      <x:c r="B868" s="70" t="n">
        <x:v>13.75</x:v>
      </x:c>
    </x:row>
    <x:row r="869" s="43" customFormat="1" ht="15" customHeight="1">
      <x:c r="A869" s="71" t="n">
        <x:v>45064</x:v>
      </x:c>
      <x:c r="B869" s="72" t="n">
        <x:v>13.75</x:v>
      </x:c>
    </x:row>
    <x:row r="870" s="43" customFormat="1" ht="15" customHeight="1">
      <x:c r="A870" s="69" t="n">
        <x:v>45065</x:v>
      </x:c>
      <x:c r="B870" s="70" t="n">
        <x:v>13.75</x:v>
      </x:c>
    </x:row>
    <x:row r="871" s="43" customFormat="1" ht="15" customHeight="1">
      <x:c r="A871" s="71" t="n">
        <x:v>45066</x:v>
      </x:c>
      <x:c r="B871" s="72" t="n">
        <x:v>13.75</x:v>
      </x:c>
    </x:row>
    <x:row r="872" s="43" customFormat="1" ht="15" customHeight="1">
      <x:c r="A872" s="69" t="n">
        <x:v>45067</x:v>
      </x:c>
      <x:c r="B872" s="70" t="n">
        <x:v>13.75</x:v>
      </x:c>
    </x:row>
    <x:row r="873" s="43" customFormat="1" ht="15" customHeight="1">
      <x:c r="A873" s="71" t="n">
        <x:v>45068</x:v>
      </x:c>
      <x:c r="B873" s="72" t="n">
        <x:v>13.75</x:v>
      </x:c>
    </x:row>
    <x:row r="874" s="43" customFormat="1" ht="15" customHeight="1">
      <x:c r="A874" s="69" t="n">
        <x:v>45069</x:v>
      </x:c>
      <x:c r="B874" s="70" t="n">
        <x:v>13.75</x:v>
      </x:c>
    </x:row>
    <x:row r="875" s="43" customFormat="1" ht="15" customHeight="1">
      <x:c r="A875" s="71" t="n">
        <x:v>45070</x:v>
      </x:c>
      <x:c r="B875" s="72" t="n">
        <x:v>13.75</x:v>
      </x:c>
    </x:row>
    <x:row r="876" s="43" customFormat="1" ht="15" customHeight="1">
      <x:c r="A876" s="69" t="n">
        <x:v>45071</x:v>
      </x:c>
      <x:c r="B876" s="70" t="n">
        <x:v>13.75</x:v>
      </x:c>
    </x:row>
    <x:row r="877" s="43" customFormat="1" ht="15" customHeight="1">
      <x:c r="A877" s="71" t="n">
        <x:v>45072</x:v>
      </x:c>
      <x:c r="B877" s="72" t="n">
        <x:v>13.75</x:v>
      </x:c>
    </x:row>
    <x:row r="878" s="43" customFormat="1" ht="15" customHeight="1">
      <x:c r="A878" s="69" t="n">
        <x:v>45073</x:v>
      </x:c>
      <x:c r="B878" s="70" t="n">
        <x:v>13.75</x:v>
      </x:c>
    </x:row>
    <x:row r="879" s="43" customFormat="1" ht="15" customHeight="1">
      <x:c r="A879" s="71" t="n">
        <x:v>45074</x:v>
      </x:c>
      <x:c r="B879" s="72" t="n">
        <x:v>13.75</x:v>
      </x:c>
    </x:row>
    <x:row r="880" s="43" customFormat="1" ht="15" customHeight="1">
      <x:c r="A880" s="69" t="n">
        <x:v>45075</x:v>
      </x:c>
      <x:c r="B880" s="70" t="n">
        <x:v>13.75</x:v>
      </x:c>
    </x:row>
    <x:row r="881" s="43" customFormat="1" ht="15" customHeight="1">
      <x:c r="A881" s="71" t="n">
        <x:v>45076</x:v>
      </x:c>
      <x:c r="B881" s="72" t="n">
        <x:v>13.75</x:v>
      </x:c>
    </x:row>
    <x:row r="882" s="43" customFormat="1" ht="15" customHeight="1">
      <x:c r="A882" s="69" t="n">
        <x:v>45077</x:v>
      </x:c>
      <x:c r="B882" s="70" t="n">
        <x:v>13.75</x:v>
      </x:c>
    </x:row>
    <x:row r="883" s="43" customFormat="1" ht="15" customHeight="1">
      <x:c r="A883" s="71" t="n">
        <x:v>45078</x:v>
      </x:c>
      <x:c r="B883" s="72" t="n">
        <x:v>13.75</x:v>
      </x:c>
    </x:row>
    <x:row r="884" s="43" customFormat="1" ht="15" customHeight="1">
      <x:c r="A884" s="69" t="n">
        <x:v>45079</x:v>
      </x:c>
      <x:c r="B884" s="70" t="n">
        <x:v>13.75</x:v>
      </x:c>
    </x:row>
    <x:row r="885" s="43" customFormat="1" ht="15" customHeight="1">
      <x:c r="A885" s="71" t="n">
        <x:v>45080</x:v>
      </x:c>
      <x:c r="B885" s="72" t="n">
        <x:v>13.75</x:v>
      </x:c>
    </x:row>
    <x:row r="886" s="43" customFormat="1" ht="15" customHeight="1">
      <x:c r="A886" s="69" t="n">
        <x:v>45081</x:v>
      </x:c>
      <x:c r="B886" s="70" t="n">
        <x:v>13.75</x:v>
      </x:c>
    </x:row>
    <x:row r="887" s="43" customFormat="1" ht="15" customHeight="1">
      <x:c r="A887" s="71" t="n">
        <x:v>45082</x:v>
      </x:c>
      <x:c r="B887" s="72" t="n">
        <x:v>13.75</x:v>
      </x:c>
    </x:row>
    <x:row r="888" s="43" customFormat="1" ht="15" customHeight="1">
      <x:c r="A888" s="69" t="n">
        <x:v>45083</x:v>
      </x:c>
      <x:c r="B888" s="70" t="n">
        <x:v>13.75</x:v>
      </x:c>
    </x:row>
    <x:row r="889" s="43" customFormat="1" ht="15" customHeight="1">
      <x:c r="A889" s="71" t="n">
        <x:v>45084</x:v>
      </x:c>
      <x:c r="B889" s="72" t="n">
        <x:v>13.75</x:v>
      </x:c>
    </x:row>
    <x:row r="890" s="43" customFormat="1" ht="15" customHeight="1">
      <x:c r="A890" s="69" t="n">
        <x:v>45085</x:v>
      </x:c>
      <x:c r="B890" s="70" t="n">
        <x:v>13.75</x:v>
      </x:c>
    </x:row>
    <x:row r="891" s="43" customFormat="1" ht="15" customHeight="1">
      <x:c r="A891" s="71" t="n">
        <x:v>45086</x:v>
      </x:c>
      <x:c r="B891" s="72" t="n">
        <x:v>13.75</x:v>
      </x:c>
    </x:row>
    <x:row r="892" s="43" customFormat="1" ht="15" customHeight="1">
      <x:c r="A892" s="69" t="n">
        <x:v>45087</x:v>
      </x:c>
      <x:c r="B892" s="70" t="n">
        <x:v>13.75</x:v>
      </x:c>
    </x:row>
    <x:row r="893" s="43" customFormat="1" ht="15" customHeight="1">
      <x:c r="A893" s="71" t="n">
        <x:v>45088</x:v>
      </x:c>
      <x:c r="B893" s="72" t="n">
        <x:v>13.75</x:v>
      </x:c>
    </x:row>
    <x:row r="894" s="43" customFormat="1" ht="15" customHeight="1">
      <x:c r="A894" s="69" t="n">
        <x:v>45089</x:v>
      </x:c>
      <x:c r="B894" s="70" t="n">
        <x:v>13.75</x:v>
      </x:c>
    </x:row>
    <x:row r="895" s="43" customFormat="1" ht="15" customHeight="1">
      <x:c r="A895" s="71" t="n">
        <x:v>45090</x:v>
      </x:c>
      <x:c r="B895" s="72" t="n">
        <x:v>13.75</x:v>
      </x:c>
    </x:row>
    <x:row r="896" s="43" customFormat="1" ht="15" customHeight="1">
      <x:c r="A896" s="69" t="n">
        <x:v>45091</x:v>
      </x:c>
      <x:c r="B896" s="70" t="n">
        <x:v>13.75</x:v>
      </x:c>
    </x:row>
    <x:row r="897" s="43" customFormat="1" ht="15" customHeight="1">
      <x:c r="A897" s="71" t="n">
        <x:v>45092</x:v>
      </x:c>
      <x:c r="B897" s="72" t="n">
        <x:v>13.75</x:v>
      </x:c>
    </x:row>
    <x:row r="898" s="43" customFormat="1" ht="15" customHeight="1">
      <x:c r="A898" s="69" t="n">
        <x:v>45093</x:v>
      </x:c>
      <x:c r="B898" s="70" t="n">
        <x:v>13.75</x:v>
      </x:c>
    </x:row>
    <x:row r="899" s="43" customFormat="1" ht="15" customHeight="1">
      <x:c r="A899" s="71" t="n">
        <x:v>45094</x:v>
      </x:c>
      <x:c r="B899" s="72" t="n">
        <x:v>13.75</x:v>
      </x:c>
    </x:row>
    <x:row r="900" s="43" customFormat="1" ht="15" customHeight="1">
      <x:c r="A900" s="69" t="n">
        <x:v>45095</x:v>
      </x:c>
      <x:c r="B900" s="70" t="n">
        <x:v>13.75</x:v>
      </x:c>
    </x:row>
    <x:row r="901" s="43" customFormat="1" ht="15" customHeight="1">
      <x:c r="A901" s="71" t="n">
        <x:v>45096</x:v>
      </x:c>
      <x:c r="B901" s="72" t="n">
        <x:v>13.75</x:v>
      </x:c>
    </x:row>
    <x:row r="902" s="43" customFormat="1" ht="15" customHeight="1">
      <x:c r="A902" s="69" t="n">
        <x:v>45097</x:v>
      </x:c>
      <x:c r="B902" s="70" t="n">
        <x:v>13.75</x:v>
      </x:c>
    </x:row>
    <x:row r="903" s="43" customFormat="1" ht="15" customHeight="1">
      <x:c r="A903" s="71" t="n">
        <x:v>45098</x:v>
      </x:c>
      <x:c r="B903" s="72" t="n">
        <x:v>13.75</x:v>
      </x:c>
    </x:row>
    <x:row r="904" s="43" customFormat="1" ht="15" customHeight="1">
      <x:c r="A904" s="69" t="n">
        <x:v>45099</x:v>
      </x:c>
      <x:c r="B904" s="70" t="n">
        <x:v>13.75</x:v>
      </x:c>
    </x:row>
    <x:row r="905" s="43" customFormat="1" ht="15" customHeight="1">
      <x:c r="A905" s="71" t="n">
        <x:v>45100</x:v>
      </x:c>
      <x:c r="B905" s="72" t="n">
        <x:v>13.75</x:v>
      </x:c>
    </x:row>
    <x:row r="906" s="43" customFormat="1" ht="15" customHeight="1">
      <x:c r="A906" s="69" t="n">
        <x:v>45101</x:v>
      </x:c>
      <x:c r="B906" s="70" t="n">
        <x:v>13.75</x:v>
      </x:c>
    </x:row>
    <x:row r="907" s="43" customFormat="1" ht="15" customHeight="1">
      <x:c r="A907" s="71" t="n">
        <x:v>45102</x:v>
      </x:c>
      <x:c r="B907" s="72" t="n">
        <x:v>13.75</x:v>
      </x:c>
    </x:row>
    <x:row r="908" s="43" customFormat="1" ht="15" customHeight="1">
      <x:c r="A908" s="69" t="n">
        <x:v>45103</x:v>
      </x:c>
      <x:c r="B908" s="70" t="n">
        <x:v>13.75</x:v>
      </x:c>
    </x:row>
    <x:row r="909" s="43" customFormat="1" ht="15" customHeight="1">
      <x:c r="A909" s="71" t="n">
        <x:v>45104</x:v>
      </x:c>
      <x:c r="B909" s="72" t="n">
        <x:v>13.75</x:v>
      </x:c>
    </x:row>
    <x:row r="910" s="43" customFormat="1" ht="15" customHeight="1">
      <x:c r="A910" s="69" t="n">
        <x:v>45105</x:v>
      </x:c>
      <x:c r="B910" s="70" t="n">
        <x:v>13.75</x:v>
      </x:c>
    </x:row>
    <x:row r="911" s="43" customFormat="1" ht="15" customHeight="1">
      <x:c r="A911" s="71" t="n">
        <x:v>45106</x:v>
      </x:c>
      <x:c r="B911" s="72" t="n">
        <x:v>13.75</x:v>
      </x:c>
    </x:row>
    <x:row r="912" s="43" customFormat="1" ht="15" customHeight="1">
      <x:c r="A912" s="69" t="n">
        <x:v>45107</x:v>
      </x:c>
      <x:c r="B912" s="70" t="n">
        <x:v>13.75</x:v>
      </x:c>
    </x:row>
    <x:row r="913" s="43" customFormat="1" ht="15" customHeight="1">
      <x:c r="A913" s="71" t="n">
        <x:v>45108</x:v>
      </x:c>
      <x:c r="B913" s="72" t="n">
        <x:v>13.75</x:v>
      </x:c>
    </x:row>
    <x:row r="914" s="43" customFormat="1" ht="15" customHeight="1">
      <x:c r="A914" s="69" t="n">
        <x:v>45109</x:v>
      </x:c>
      <x:c r="B914" s="70" t="n">
        <x:v>13.75</x:v>
      </x:c>
    </x:row>
    <x:row r="915" s="43" customFormat="1" ht="15" customHeight="1">
      <x:c r="A915" s="71" t="n">
        <x:v>45110</x:v>
      </x:c>
      <x:c r="B915" s="72" t="n">
        <x:v>13.75</x:v>
      </x:c>
    </x:row>
    <x:row r="916" s="43" customFormat="1" ht="15" customHeight="1">
      <x:c r="A916" s="69" t="n">
        <x:v>45111</x:v>
      </x:c>
      <x:c r="B916" s="70" t="n">
        <x:v>13.75</x:v>
      </x:c>
    </x:row>
    <x:row r="917" s="43" customFormat="1" ht="15" customHeight="1">
      <x:c r="A917" s="71" t="n">
        <x:v>45112</x:v>
      </x:c>
      <x:c r="B917" s="72" t="n">
        <x:v>13.75</x:v>
      </x:c>
    </x:row>
    <x:row r="918" s="43" customFormat="1" ht="15" customHeight="1">
      <x:c r="A918" s="69" t="n">
        <x:v>45113</x:v>
      </x:c>
      <x:c r="B918" s="70" t="n">
        <x:v>13.75</x:v>
      </x:c>
    </x:row>
    <x:row r="919" s="43" customFormat="1" ht="15" customHeight="1">
      <x:c r="A919" s="71" t="n">
        <x:v>45114</x:v>
      </x:c>
      <x:c r="B919" s="72" t="n">
        <x:v>13.75</x:v>
      </x:c>
    </x:row>
    <x:row r="920" s="43" customFormat="1" ht="15" customHeight="1">
      <x:c r="A920" s="69" t="n">
        <x:v>45115</x:v>
      </x:c>
      <x:c r="B920" s="70" t="n">
        <x:v>13.75</x:v>
      </x:c>
    </x:row>
    <x:row r="921" s="43" customFormat="1" ht="15" customHeight="1">
      <x:c r="A921" s="71" t="n">
        <x:v>45116</x:v>
      </x:c>
      <x:c r="B921" s="72" t="n">
        <x:v>13.75</x:v>
      </x:c>
    </x:row>
    <x:row r="922" s="43" customFormat="1" ht="15" customHeight="1">
      <x:c r="A922" s="69" t="n">
        <x:v>45117</x:v>
      </x:c>
      <x:c r="B922" s="70" t="n">
        <x:v>13.75</x:v>
      </x:c>
    </x:row>
    <x:row r="923" s="43" customFormat="1" ht="15" customHeight="1">
      <x:c r="A923" s="71" t="n">
        <x:v>45118</x:v>
      </x:c>
      <x:c r="B923" s="72" t="n">
        <x:v>13.75</x:v>
      </x:c>
    </x:row>
    <x:row r="924" s="43" customFormat="1" ht="15" customHeight="1">
      <x:c r="A924" s="69" t="n">
        <x:v>45119</x:v>
      </x:c>
      <x:c r="B924" s="70" t="n">
        <x:v>13.75</x:v>
      </x:c>
    </x:row>
    <x:row r="925" s="43" customFormat="1" ht="15" customHeight="1">
      <x:c r="A925" s="71" t="n">
        <x:v>45120</x:v>
      </x:c>
      <x:c r="B925" s="72" t="n">
        <x:v>13.75</x:v>
      </x:c>
    </x:row>
    <x:row r="926" s="43" customFormat="1" ht="15" customHeight="1">
      <x:c r="A926" s="69" t="n">
        <x:v>45121</x:v>
      </x:c>
      <x:c r="B926" s="70" t="n">
        <x:v>13.75</x:v>
      </x:c>
    </x:row>
    <x:row r="927" s="43" customFormat="1" ht="15" customHeight="1">
      <x:c r="A927" s="71" t="n">
        <x:v>45122</x:v>
      </x:c>
      <x:c r="B927" s="72" t="n">
        <x:v>13.75</x:v>
      </x:c>
    </x:row>
    <x:row r="928" s="43" customFormat="1" ht="15" customHeight="1">
      <x:c r="A928" s="69" t="n">
        <x:v>45123</x:v>
      </x:c>
      <x:c r="B928" s="70" t="n">
        <x:v>13.75</x:v>
      </x:c>
    </x:row>
    <x:row r="929" s="43" customFormat="1" ht="15" customHeight="1">
      <x:c r="A929" s="71" t="n">
        <x:v>45124</x:v>
      </x:c>
      <x:c r="B929" s="72" t="n">
        <x:v>13.75</x:v>
      </x:c>
    </x:row>
    <x:row r="930" s="43" customFormat="1" ht="15" customHeight="1">
      <x:c r="A930" s="69" t="n">
        <x:v>45125</x:v>
      </x:c>
      <x:c r="B930" s="70" t="n">
        <x:v>13.75</x:v>
      </x:c>
    </x:row>
    <x:row r="931" s="43" customFormat="1" ht="15" customHeight="1">
      <x:c r="A931" s="71" t="n">
        <x:v>45126</x:v>
      </x:c>
      <x:c r="B931" s="72" t="n">
        <x:v>13.75</x:v>
      </x:c>
    </x:row>
    <x:row r="932" s="43" customFormat="1" ht="15" customHeight="1">
      <x:c r="A932" s="69" t="n">
        <x:v>45127</x:v>
      </x:c>
      <x:c r="B932" s="70" t="n">
        <x:v>13.75</x:v>
      </x:c>
    </x:row>
    <x:row r="933" s="43" customFormat="1" ht="15" customHeight="1">
      <x:c r="A933" s="71" t="n">
        <x:v>45128</x:v>
      </x:c>
      <x:c r="B933" s="72" t="n">
        <x:v>13.75</x:v>
      </x:c>
    </x:row>
    <x:row r="934" s="43" customFormat="1" ht="15" customHeight="1">
      <x:c r="A934" s="69" t="n">
        <x:v>45129</x:v>
      </x:c>
      <x:c r="B934" s="70" t="n">
        <x:v>13.75</x:v>
      </x:c>
    </x:row>
    <x:row r="935" s="43" customFormat="1" ht="15" customHeight="1">
      <x:c r="A935" s="71" t="n">
        <x:v>45130</x:v>
      </x:c>
      <x:c r="B935" s="72" t="n">
        <x:v>13.75</x:v>
      </x:c>
    </x:row>
    <x:row r="936" s="43" customFormat="1" ht="15" customHeight="1">
      <x:c r="A936" s="69" t="n">
        <x:v>45131</x:v>
      </x:c>
      <x:c r="B936" s="70" t="n">
        <x:v>13.75</x:v>
      </x:c>
    </x:row>
    <x:row r="937" s="43" customFormat="1" ht="15" customHeight="1">
      <x:c r="A937" s="71" t="n">
        <x:v>45132</x:v>
      </x:c>
      <x:c r="B937" s="72" t="n">
        <x:v>13.75</x:v>
      </x:c>
    </x:row>
    <x:row r="938" s="43" customFormat="1" ht="15" customHeight="1">
      <x:c r="A938" s="69" t="n">
        <x:v>45133</x:v>
      </x:c>
      <x:c r="B938" s="70" t="n">
        <x:v>13.75</x:v>
      </x:c>
    </x:row>
    <x:row r="939" s="43" customFormat="1" ht="15" customHeight="1">
      <x:c r="A939" s="71" t="n">
        <x:v>45134</x:v>
      </x:c>
      <x:c r="B939" s="72" t="n">
        <x:v>13.75</x:v>
      </x:c>
    </x:row>
    <x:row r="940" s="43" customFormat="1" ht="15" customHeight="1">
      <x:c r="A940" s="69" t="n">
        <x:v>45135</x:v>
      </x:c>
      <x:c r="B940" s="70" t="n">
        <x:v>13.75</x:v>
      </x:c>
    </x:row>
    <x:row r="941" s="43" customFormat="1" ht="15" customHeight="1">
      <x:c r="A941" s="71" t="n">
        <x:v>45136</x:v>
      </x:c>
      <x:c r="B941" s="72" t="n">
        <x:v>13.75</x:v>
      </x:c>
    </x:row>
    <x:row r="942" s="43" customFormat="1" ht="15" customHeight="1">
      <x:c r="A942" s="69" t="n">
        <x:v>45137</x:v>
      </x:c>
      <x:c r="B942" s="70" t="n">
        <x:v>13.75</x:v>
      </x:c>
    </x:row>
    <x:row r="943" s="43" customFormat="1" ht="15" customHeight="1">
      <x:c r="A943" s="71" t="n">
        <x:v>45138</x:v>
      </x:c>
      <x:c r="B943" s="72" t="n">
        <x:v>13.75</x:v>
      </x:c>
    </x:row>
    <x:row r="944" s="43" customFormat="1" ht="15" customHeight="1">
      <x:c r="A944" s="69" t="n">
        <x:v>45139</x:v>
      </x:c>
      <x:c r="B944" s="70" t="n">
        <x:v>13.75</x:v>
      </x:c>
    </x:row>
    <x:row r="945" s="43" customFormat="1" ht="15" customHeight="1">
      <x:c r="A945" s="71" t="n">
        <x:v>45140</x:v>
      </x:c>
      <x:c r="B945" s="72" t="n">
        <x:v>13.75</x:v>
      </x:c>
    </x:row>
    <x:row r="946" s="43" customFormat="1" ht="15" customHeight="1">
      <x:c r="A946" s="69" t="n">
        <x:v>45141</x:v>
      </x:c>
      <x:c r="B946" s="70" t="n">
        <x:v>13.25</x:v>
      </x:c>
    </x:row>
    <x:row r="947" s="43" customFormat="1" ht="15" customHeight="1">
      <x:c r="A947" s="71" t="n">
        <x:v>45142</x:v>
      </x:c>
      <x:c r="B947" s="72" t="n">
        <x:v>13.25</x:v>
      </x:c>
    </x:row>
    <x:row r="948" s="43" customFormat="1" ht="15" customHeight="1">
      <x:c r="A948" s="69" t="n">
        <x:v>45143</x:v>
      </x:c>
      <x:c r="B948" s="70" t="n">
        <x:v>13.25</x:v>
      </x:c>
    </x:row>
    <x:row r="949" s="43" customFormat="1" ht="15" customHeight="1">
      <x:c r="A949" s="71" t="n">
        <x:v>45144</x:v>
      </x:c>
      <x:c r="B949" s="72" t="n">
        <x:v>13.25</x:v>
      </x:c>
    </x:row>
    <x:row r="950" s="43" customFormat="1" ht="15" customHeight="1">
      <x:c r="A950" s="69" t="n">
        <x:v>45145</x:v>
      </x:c>
      <x:c r="B950" s="70" t="n">
        <x:v>13.25</x:v>
      </x:c>
    </x:row>
    <x:row r="951" s="43" customFormat="1" ht="15" customHeight="1">
      <x:c r="A951" s="71" t="n">
        <x:v>45146</x:v>
      </x:c>
      <x:c r="B951" s="72" t="n">
        <x:v>13.25</x:v>
      </x:c>
    </x:row>
    <x:row r="952" s="43" customFormat="1" ht="15" customHeight="1">
      <x:c r="A952" s="69" t="n">
        <x:v>45147</x:v>
      </x:c>
      <x:c r="B952" s="70" t="n">
        <x:v>13.25</x:v>
      </x:c>
    </x:row>
    <x:row r="953" s="43" customFormat="1" ht="15" customHeight="1">
      <x:c r="A953" s="71" t="n">
        <x:v>45148</x:v>
      </x:c>
      <x:c r="B953" s="72" t="n">
        <x:v>13.25</x:v>
      </x:c>
    </x:row>
    <x:row r="954" s="43" customFormat="1" ht="15" customHeight="1">
      <x:c r="A954" s="69" t="n">
        <x:v>45149</x:v>
      </x:c>
      <x:c r="B954" s="70" t="n">
        <x:v>13.25</x:v>
      </x:c>
    </x:row>
    <x:row r="955" s="43" customFormat="1" ht="15" customHeight="1">
      <x:c r="A955" s="71" t="n">
        <x:v>45150</x:v>
      </x:c>
      <x:c r="B955" s="72" t="n">
        <x:v>13.25</x:v>
      </x:c>
    </x:row>
    <x:row r="956" s="43" customFormat="1" ht="15" customHeight="1">
      <x:c r="A956" s="69" t="n">
        <x:v>45151</x:v>
      </x:c>
      <x:c r="B956" s="70" t="n">
        <x:v>13.25</x:v>
      </x:c>
    </x:row>
    <x:row r="957" s="43" customFormat="1" ht="15" customHeight="1">
      <x:c r="A957" s="71" t="n">
        <x:v>45152</x:v>
      </x:c>
      <x:c r="B957" s="72" t="n">
        <x:v>13.25</x:v>
      </x:c>
    </x:row>
    <x:row r="958" s="43" customFormat="1" ht="15" customHeight="1">
      <x:c r="A958" s="69" t="n">
        <x:v>45153</x:v>
      </x:c>
      <x:c r="B958" s="70" t="n">
        <x:v>13.25</x:v>
      </x:c>
    </x:row>
    <x:row r="959" s="43" customFormat="1" ht="15" customHeight="1">
      <x:c r="A959" s="71" t="n">
        <x:v>45154</x:v>
      </x:c>
      <x:c r="B959" s="72" t="n">
        <x:v>13.25</x:v>
      </x:c>
    </x:row>
    <x:row r="960" s="43" customFormat="1" ht="15" customHeight="1">
      <x:c r="A960" s="69" t="n">
        <x:v>45155</x:v>
      </x:c>
      <x:c r="B960" s="70" t="n">
        <x:v>13.25</x:v>
      </x:c>
    </x:row>
    <x:row r="961" s="43" customFormat="1" ht="15" customHeight="1">
      <x:c r="A961" s="71" t="n">
        <x:v>45156</x:v>
      </x:c>
      <x:c r="B961" s="72" t="n">
        <x:v>13.25</x:v>
      </x:c>
    </x:row>
    <x:row r="962" s="43" customFormat="1" ht="15" customHeight="1">
      <x:c r="A962" s="69" t="n">
        <x:v>45157</x:v>
      </x:c>
      <x:c r="B962" s="70" t="n">
        <x:v>13.25</x:v>
      </x:c>
    </x:row>
    <x:row r="963" s="43" customFormat="1" ht="15" customHeight="1">
      <x:c r="A963" s="71" t="n">
        <x:v>45158</x:v>
      </x:c>
      <x:c r="B963" s="72" t="n">
        <x:v>13.25</x:v>
      </x:c>
    </x:row>
    <x:row r="964" s="43" customFormat="1" ht="15" customHeight="1">
      <x:c r="A964" s="69" t="n">
        <x:v>45159</x:v>
      </x:c>
      <x:c r="B964" s="70" t="n">
        <x:v>13.25</x:v>
      </x:c>
    </x:row>
    <x:row r="965" s="43" customFormat="1" ht="15" customHeight="1">
      <x:c r="A965" s="71" t="n">
        <x:v>45160</x:v>
      </x:c>
      <x:c r="B965" s="72" t="n">
        <x:v>13.25</x:v>
      </x:c>
    </x:row>
    <x:row r="966" s="43" customFormat="1" ht="15" customHeight="1">
      <x:c r="A966" s="69" t="n">
        <x:v>45161</x:v>
      </x:c>
      <x:c r="B966" s="70" t="n">
        <x:v>13.25</x:v>
      </x:c>
    </x:row>
    <x:row r="967" s="43" customFormat="1" ht="15" customHeight="1">
      <x:c r="A967" s="71" t="n">
        <x:v>45162</x:v>
      </x:c>
      <x:c r="B967" s="72" t="n">
        <x:v>13.25</x:v>
      </x:c>
    </x:row>
    <x:row r="968" s="43" customFormat="1" ht="15" customHeight="1">
      <x:c r="A968" s="69" t="n">
        <x:v>45163</x:v>
      </x:c>
      <x:c r="B968" s="70" t="n">
        <x:v>13.25</x:v>
      </x:c>
    </x:row>
    <x:row r="969" s="43" customFormat="1" ht="15" customHeight="1">
      <x:c r="A969" s="71" t="n">
        <x:v>45164</x:v>
      </x:c>
      <x:c r="B969" s="72" t="n">
        <x:v>13.25</x:v>
      </x:c>
    </x:row>
    <x:row r="970" s="43" customFormat="1" ht="15" customHeight="1">
      <x:c r="A970" s="69" t="n">
        <x:v>45165</x:v>
      </x:c>
      <x:c r="B970" s="70" t="n">
        <x:v>13.25</x:v>
      </x:c>
    </x:row>
    <x:row r="971" s="43" customFormat="1" ht="15" customHeight="1">
      <x:c r="A971" s="71" t="n">
        <x:v>45166</x:v>
      </x:c>
      <x:c r="B971" s="72" t="n">
        <x:v>13.25</x:v>
      </x:c>
    </x:row>
    <x:row r="972" s="43" customFormat="1" ht="15" customHeight="1">
      <x:c r="A972" s="69" t="n">
        <x:v>45167</x:v>
      </x:c>
      <x:c r="B972" s="70" t="n">
        <x:v>13.25</x:v>
      </x:c>
    </x:row>
    <x:row r="973" s="43" customFormat="1" ht="15" customHeight="1">
      <x:c r="A973" s="71" t="n">
        <x:v>45168</x:v>
      </x:c>
      <x:c r="B973" s="72" t="n">
        <x:v>13.25</x:v>
      </x:c>
    </x:row>
    <x:row r="974" s="43" customFormat="1" ht="15" customHeight="1">
      <x:c r="A974" s="69" t="n">
        <x:v>45169</x:v>
      </x:c>
      <x:c r="B974" s="70" t="n">
        <x:v>13.25</x:v>
      </x:c>
    </x:row>
    <x:row r="975" s="43" customFormat="1" ht="15" customHeight="1">
      <x:c r="A975" s="71" t="n">
        <x:v>45170</x:v>
      </x:c>
      <x:c r="B975" s="72" t="n">
        <x:v>13.25</x:v>
      </x:c>
    </x:row>
    <x:row r="976" s="43" customFormat="1" ht="15" customHeight="1">
      <x:c r="A976" s="69" t="n">
        <x:v>45171</x:v>
      </x:c>
      <x:c r="B976" s="70" t="n">
        <x:v>13.25</x:v>
      </x:c>
    </x:row>
    <x:row r="977" s="43" customFormat="1" ht="15" customHeight="1">
      <x:c r="A977" s="71" t="n">
        <x:v>45172</x:v>
      </x:c>
      <x:c r="B977" s="72" t="n">
        <x:v>13.25</x:v>
      </x:c>
    </x:row>
    <x:row r="978" s="43" customFormat="1" ht="15" customHeight="1">
      <x:c r="A978" s="69" t="n">
        <x:v>45173</x:v>
      </x:c>
      <x:c r="B978" s="70" t="n">
        <x:v>13.25</x:v>
      </x:c>
    </x:row>
    <x:row r="979" s="43" customFormat="1" ht="15" customHeight="1">
      <x:c r="A979" s="71" t="n">
        <x:v>45174</x:v>
      </x:c>
      <x:c r="B979" s="72" t="n">
        <x:v>13.25</x:v>
      </x:c>
    </x:row>
    <x:row r="980" s="43" customFormat="1" ht="15" customHeight="1">
      <x:c r="A980" s="69" t="n">
        <x:v>45175</x:v>
      </x:c>
      <x:c r="B980" s="70" t="n">
        <x:v>13.25</x:v>
      </x:c>
    </x:row>
    <x:row r="981" s="43" customFormat="1" ht="15" customHeight="1">
      <x:c r="A981" s="71" t="n">
        <x:v>45176</x:v>
      </x:c>
      <x:c r="B981" s="72" t="n">
        <x:v>13.25</x:v>
      </x:c>
    </x:row>
    <x:row r="982" s="43" customFormat="1" ht="15" customHeight="1">
      <x:c r="A982" s="69" t="n">
        <x:v>45177</x:v>
      </x:c>
      <x:c r="B982" s="70" t="n">
        <x:v>13.25</x:v>
      </x:c>
    </x:row>
    <x:row r="983" s="43" customFormat="1" ht="15" customHeight="1">
      <x:c r="A983" s="71" t="n">
        <x:v>45178</x:v>
      </x:c>
      <x:c r="B983" s="72" t="n">
        <x:v>13.25</x:v>
      </x:c>
    </x:row>
    <x:row r="984" s="43" customFormat="1" ht="15" customHeight="1">
      <x:c r="A984" s="69" t="n">
        <x:v>45179</x:v>
      </x:c>
      <x:c r="B984" s="70" t="n">
        <x:v>13.25</x:v>
      </x:c>
    </x:row>
    <x:row r="985" s="43" customFormat="1" ht="15" customHeight="1">
      <x:c r="A985" s="71" t="n">
        <x:v>45180</x:v>
      </x:c>
      <x:c r="B985" s="72" t="n">
        <x:v>13.25</x:v>
      </x:c>
    </x:row>
    <x:row r="986" s="43" customFormat="1" ht="15" customHeight="1">
      <x:c r="A986" s="69" t="n">
        <x:v>45181</x:v>
      </x:c>
      <x:c r="B986" s="70" t="n">
        <x:v>13.25</x:v>
      </x:c>
    </x:row>
    <x:row r="987" s="43" customFormat="1" ht="15" customHeight="1">
      <x:c r="A987" s="71" t="n">
        <x:v>45182</x:v>
      </x:c>
      <x:c r="B987" s="72" t="n">
        <x:v>13.25</x:v>
      </x:c>
    </x:row>
    <x:row r="988" s="43" customFormat="1" ht="15" customHeight="1">
      <x:c r="A988" s="69" t="n">
        <x:v>45183</x:v>
      </x:c>
      <x:c r="B988" s="70" t="n">
        <x:v>13.25</x:v>
      </x:c>
    </x:row>
    <x:row r="989" s="43" customFormat="1" ht="15" customHeight="1">
      <x:c r="A989" s="71" t="n">
        <x:v>45184</x:v>
      </x:c>
      <x:c r="B989" s="72" t="n">
        <x:v>13.25</x:v>
      </x:c>
    </x:row>
    <x:row r="990" s="43" customFormat="1" ht="15" customHeight="1">
      <x:c r="A990" s="69" t="n">
        <x:v>45185</x:v>
      </x:c>
      <x:c r="B990" s="70" t="n">
        <x:v>13.25</x:v>
      </x:c>
    </x:row>
    <x:row r="991" s="43" customFormat="1" ht="15" customHeight="1">
      <x:c r="A991" s="71" t="n">
        <x:v>45186</x:v>
      </x:c>
      <x:c r="B991" s="72" t="n">
        <x:v>13.25</x:v>
      </x:c>
    </x:row>
    <x:row r="992" s="43" customFormat="1" ht="15" customHeight="1">
      <x:c r="A992" s="69" t="n">
        <x:v>45187</x:v>
      </x:c>
      <x:c r="B992" s="70" t="n">
        <x:v>13.25</x:v>
      </x:c>
    </x:row>
    <x:row r="993" s="43" customFormat="1" ht="15" customHeight="1">
      <x:c r="A993" s="71" t="n">
        <x:v>45188</x:v>
      </x:c>
      <x:c r="B993" s="72" t="n">
        <x:v>13.25</x:v>
      </x:c>
    </x:row>
    <x:row r="994" s="43" customFormat="1" ht="15" customHeight="1">
      <x:c r="A994" s="69" t="n">
        <x:v>45189</x:v>
      </x:c>
      <x:c r="B994" s="70" t="n">
        <x:v>13.25</x:v>
      </x:c>
    </x:row>
    <x:row r="995" s="43" customFormat="1" ht="15" customHeight="1">
      <x:c r="A995" s="71" t="n">
        <x:v>45190</x:v>
      </x:c>
      <x:c r="B995" s="72" t="n">
        <x:v>12.75</x:v>
      </x:c>
    </x:row>
    <x:row r="996" s="43" customFormat="1" ht="15" customHeight="1">
      <x:c r="A996" s="69" t="n">
        <x:v>45191</x:v>
      </x:c>
      <x:c r="B996" s="70" t="n">
        <x:v>12.75</x:v>
      </x:c>
    </x:row>
    <x:row r="997" s="43" customFormat="1" ht="15" customHeight="1">
      <x:c r="A997" s="71" t="n">
        <x:v>45192</x:v>
      </x:c>
      <x:c r="B997" s="72" t="n">
        <x:v>12.75</x:v>
      </x:c>
    </x:row>
    <x:row r="998" s="43" customFormat="1" ht="15" customHeight="1">
      <x:c r="A998" s="69" t="n">
        <x:v>45193</x:v>
      </x:c>
      <x:c r="B998" s="70" t="n">
        <x:v>12.75</x:v>
      </x:c>
    </x:row>
    <x:row r="999" s="43" customFormat="1" ht="15" customHeight="1">
      <x:c r="A999" s="71" t="n">
        <x:v>45194</x:v>
      </x:c>
      <x:c r="B999" s="72" t="n">
        <x:v>12.75</x:v>
      </x:c>
    </x:row>
    <x:row r="1000" s="43" customFormat="1" ht="15" customHeight="1">
      <x:c r="A1000" s="69" t="n">
        <x:v>45195</x:v>
      </x:c>
      <x:c r="B1000" s="70" t="n">
        <x:v>12.75</x:v>
      </x:c>
    </x:row>
    <x:row r="1001" s="43" customFormat="1" ht="15" customHeight="1">
      <x:c r="A1001" s="71" t="n">
        <x:v>45196</x:v>
      </x:c>
      <x:c r="B1001" s="72" t="n">
        <x:v>12.75</x:v>
      </x:c>
    </x:row>
    <x:row r="1002" s="43" customFormat="1" ht="15" customHeight="1">
      <x:c r="A1002" s="69" t="n">
        <x:v>45197</x:v>
      </x:c>
      <x:c r="B1002" s="70" t="n">
        <x:v>12.75</x:v>
      </x:c>
    </x:row>
    <x:row r="1003" s="43" customFormat="1" ht="15" customHeight="1">
      <x:c r="A1003" s="71" t="n">
        <x:v>45198</x:v>
      </x:c>
      <x:c r="B1003" s="72" t="n">
        <x:v>12.75</x:v>
      </x:c>
    </x:row>
    <x:row r="1004" s="43" customFormat="1" ht="15" customHeight="1">
      <x:c r="A1004" s="69" t="n">
        <x:v>45199</x:v>
      </x:c>
      <x:c r="B1004" s="70" t="n">
        <x:v>12.75</x:v>
      </x:c>
    </x:row>
    <x:row r="1005" s="43" customFormat="1" ht="15" customHeight="1">
      <x:c r="A1005" s="71" t="n">
        <x:v>45200</x:v>
      </x:c>
      <x:c r="B1005" s="72" t="n">
        <x:v>12.75</x:v>
      </x:c>
    </x:row>
    <x:row r="1006" s="43" customFormat="1" ht="15" customHeight="1">
      <x:c r="A1006" s="69" t="n">
        <x:v>45201</x:v>
      </x:c>
      <x:c r="B1006" s="70" t="n">
        <x:v>12.75</x:v>
      </x:c>
    </x:row>
    <x:row r="1007" s="43" customFormat="1" ht="15" customHeight="1">
      <x:c r="A1007" s="71" t="n">
        <x:v>45202</x:v>
      </x:c>
      <x:c r="B1007" s="72" t="n">
        <x:v>12.75</x:v>
      </x:c>
    </x:row>
    <x:row r="1008" s="43" customFormat="1" ht="15" customHeight="1">
      <x:c r="A1008" s="69" t="n">
        <x:v>45203</x:v>
      </x:c>
      <x:c r="B1008" s="70" t="n">
        <x:v>12.75</x:v>
      </x:c>
    </x:row>
    <x:row r="1009" s="43" customFormat="1" ht="15" customHeight="1">
      <x:c r="A1009" s="71" t="n">
        <x:v>45204</x:v>
      </x:c>
      <x:c r="B1009" s="72" t="n">
        <x:v>12.75</x:v>
      </x:c>
    </x:row>
    <x:row r="1010" s="43" customFormat="1" ht="15" customHeight="1">
      <x:c r="A1010" s="69" t="n">
        <x:v>45205</x:v>
      </x:c>
      <x:c r="B1010" s="70" t="n">
        <x:v>12.75</x:v>
      </x:c>
    </x:row>
    <x:row r="1011" s="43" customFormat="1" ht="15" customHeight="1">
      <x:c r="A1011" s="71" t="n">
        <x:v>45206</x:v>
      </x:c>
      <x:c r="B1011" s="72" t="n">
        <x:v>12.75</x:v>
      </x:c>
    </x:row>
    <x:row r="1012" s="43" customFormat="1" ht="15" customHeight="1">
      <x:c r="A1012" s="69" t="n">
        <x:v>45207</x:v>
      </x:c>
      <x:c r="B1012" s="70" t="n">
        <x:v>12.75</x:v>
      </x:c>
    </x:row>
    <x:row r="1013" s="43" customFormat="1" ht="15" customHeight="1">
      <x:c r="A1013" s="71" t="n">
        <x:v>45208</x:v>
      </x:c>
      <x:c r="B1013" s="72" t="n">
        <x:v>12.75</x:v>
      </x:c>
    </x:row>
    <x:row r="1014" s="43" customFormat="1" ht="15" customHeight="1">
      <x:c r="A1014" s="69" t="n">
        <x:v>45209</x:v>
      </x:c>
      <x:c r="B1014" s="70" t="n">
        <x:v>12.75</x:v>
      </x:c>
    </x:row>
    <x:row r="1015" s="43" customFormat="1" ht="15" customHeight="1">
      <x:c r="A1015" s="71" t="n">
        <x:v>45210</x:v>
      </x:c>
      <x:c r="B1015" s="72" t="n">
        <x:v>12.75</x:v>
      </x:c>
    </x:row>
    <x:row r="1016" s="43" customFormat="1" ht="15" customHeight="1">
      <x:c r="A1016" s="69" t="n">
        <x:v>45211</x:v>
      </x:c>
      <x:c r="B1016" s="70" t="n">
        <x:v>12.75</x:v>
      </x:c>
    </x:row>
    <x:row r="1017" s="43" customFormat="1" ht="15" customHeight="1">
      <x:c r="A1017" s="71" t="n">
        <x:v>45212</x:v>
      </x:c>
      <x:c r="B1017" s="72" t="n">
        <x:v>12.75</x:v>
      </x:c>
    </x:row>
    <x:row r="1018" s="43" customFormat="1" ht="15" customHeight="1">
      <x:c r="A1018" s="69" t="n">
        <x:v>45213</x:v>
      </x:c>
      <x:c r="B1018" s="70" t="n">
        <x:v>12.75</x:v>
      </x:c>
    </x:row>
    <x:row r="1019" s="43" customFormat="1" ht="15" customHeight="1">
      <x:c r="A1019" s="71" t="n">
        <x:v>45214</x:v>
      </x:c>
      <x:c r="B1019" s="72" t="n">
        <x:v>12.75</x:v>
      </x:c>
    </x:row>
    <x:row r="1020" s="43" customFormat="1" ht="15" customHeight="1">
      <x:c r="A1020" s="69" t="n">
        <x:v>45215</x:v>
      </x:c>
      <x:c r="B1020" s="70" t="n">
        <x:v>12.75</x:v>
      </x:c>
    </x:row>
    <x:row r="1021" s="43" customFormat="1" ht="15" customHeight="1">
      <x:c r="A1021" s="71" t="n">
        <x:v>45216</x:v>
      </x:c>
      <x:c r="B1021" s="72" t="n">
        <x:v>12.75</x:v>
      </x:c>
    </x:row>
    <x:row r="1022" s="43" customFormat="1" ht="15" customHeight="1">
      <x:c r="A1022" s="69" t="n">
        <x:v>45217</x:v>
      </x:c>
      <x:c r="B1022" s="70" t="n">
        <x:v>12.75</x:v>
      </x:c>
    </x:row>
    <x:row r="1023" s="43" customFormat="1" ht="15" customHeight="1">
      <x:c r="A1023" s="71" t="n">
        <x:v>45218</x:v>
      </x:c>
      <x:c r="B1023" s="72" t="n">
        <x:v>12.75</x:v>
      </x:c>
    </x:row>
    <x:row r="1024" s="43" customFormat="1" ht="15" customHeight="1">
      <x:c r="A1024" s="69" t="n">
        <x:v>45219</x:v>
      </x:c>
      <x:c r="B1024" s="70" t="n">
        <x:v>12.75</x:v>
      </x:c>
    </x:row>
    <x:row r="1025" s="43" customFormat="1" ht="15" customHeight="1">
      <x:c r="A1025" s="71" t="n">
        <x:v>45220</x:v>
      </x:c>
      <x:c r="B1025" s="72" t="n">
        <x:v>12.75</x:v>
      </x:c>
    </x:row>
    <x:row r="1026" s="43" customFormat="1" ht="15" customHeight="1">
      <x:c r="A1026" s="69" t="n">
        <x:v>45221</x:v>
      </x:c>
      <x:c r="B1026" s="70" t="n">
        <x:v>12.75</x:v>
      </x:c>
    </x:row>
    <x:row r="1027" s="43" customFormat="1" ht="15" customHeight="1">
      <x:c r="A1027" s="71" t="n">
        <x:v>45222</x:v>
      </x:c>
      <x:c r="B1027" s="72" t="n">
        <x:v>12.75</x:v>
      </x:c>
    </x:row>
    <x:row r="1028" s="43" customFormat="1" ht="15" customHeight="1">
      <x:c r="A1028" s="69" t="n">
        <x:v>45223</x:v>
      </x:c>
      <x:c r="B1028" s="70" t="n">
        <x:v>12.75</x:v>
      </x:c>
    </x:row>
    <x:row r="1029" s="43" customFormat="1" ht="15" customHeight="1">
      <x:c r="A1029" s="71" t="n">
        <x:v>45224</x:v>
      </x:c>
      <x:c r="B1029" s="72" t="n">
        <x:v>12.75</x:v>
      </x:c>
    </x:row>
    <x:row r="1030" s="43" customFormat="1" ht="15" customHeight="1">
      <x:c r="A1030" s="69" t="n">
        <x:v>45225</x:v>
      </x:c>
      <x:c r="B1030" s="70" t="n">
        <x:v>12.75</x:v>
      </x:c>
    </x:row>
    <x:row r="1031" s="43" customFormat="1" ht="15" customHeight="1">
      <x:c r="A1031" s="71" t="n">
        <x:v>45226</x:v>
      </x:c>
      <x:c r="B1031" s="72" t="n">
        <x:v>12.75</x:v>
      </x:c>
    </x:row>
    <x:row r="1032" s="43" customFormat="1" ht="15" customHeight="1">
      <x:c r="A1032" s="69" t="n">
        <x:v>45227</x:v>
      </x:c>
      <x:c r="B1032" s="70" t="n">
        <x:v>12.75</x:v>
      </x:c>
    </x:row>
    <x:row r="1033" s="43" customFormat="1" ht="15" customHeight="1">
      <x:c r="A1033" s="71" t="n">
        <x:v>45228</x:v>
      </x:c>
      <x:c r="B1033" s="72" t="n">
        <x:v>12.75</x:v>
      </x:c>
    </x:row>
    <x:row r="1034" s="43" customFormat="1" ht="15" customHeight="1">
      <x:c r="A1034" s="69" t="n">
        <x:v>45229</x:v>
      </x:c>
      <x:c r="B1034" s="70" t="n">
        <x:v>12.75</x:v>
      </x:c>
    </x:row>
    <x:row r="1035" s="43" customFormat="1" ht="15" customHeight="1">
      <x:c r="A1035" s="71" t="n">
        <x:v>45230</x:v>
      </x:c>
      <x:c r="B1035" s="72" t="n">
        <x:v>12.75</x:v>
      </x:c>
    </x:row>
    <x:row r="1036" s="43" customFormat="1" ht="15" customHeight="1">
      <x:c r="A1036" s="69" t="n">
        <x:v>45231</x:v>
      </x:c>
      <x:c r="B1036" s="70" t="n">
        <x:v>12.75</x:v>
      </x:c>
    </x:row>
    <x:row r="1037" s="43" customFormat="1" ht="15" customHeight="1">
      <x:c r="A1037" s="71" t="n">
        <x:v>45232</x:v>
      </x:c>
      <x:c r="B1037" s="72" t="n">
        <x:v>12.25</x:v>
      </x:c>
    </x:row>
    <x:row r="1038" s="43" customFormat="1" ht="15" customHeight="1">
      <x:c r="A1038" s="69" t="n">
        <x:v>45233</x:v>
      </x:c>
      <x:c r="B1038" s="70" t="n">
        <x:v>12.25</x:v>
      </x:c>
    </x:row>
    <x:row r="1039" s="43" customFormat="1" ht="15" customHeight="1">
      <x:c r="A1039" s="71" t="n">
        <x:v>45234</x:v>
      </x:c>
      <x:c r="B1039" s="72" t="n">
        <x:v>12.25</x:v>
      </x:c>
    </x:row>
    <x:row r="1040" s="43" customFormat="1" ht="15" customHeight="1">
      <x:c r="A1040" s="69" t="n">
        <x:v>45235</x:v>
      </x:c>
      <x:c r="B1040" s="70" t="n">
        <x:v>12.25</x:v>
      </x:c>
    </x:row>
    <x:row r="1041" s="43" customFormat="1" ht="15" customHeight="1">
      <x:c r="A1041" s="71" t="n">
        <x:v>45236</x:v>
      </x:c>
      <x:c r="B1041" s="72" t="n">
        <x:v>12.25</x:v>
      </x:c>
    </x:row>
    <x:row r="1042" s="43" customFormat="1" ht="15" customHeight="1">
      <x:c r="A1042" s="69" t="n">
        <x:v>45237</x:v>
      </x:c>
      <x:c r="B1042" s="70" t="n">
        <x:v>12.25</x:v>
      </x:c>
    </x:row>
    <x:row r="1043" s="43" customFormat="1" ht="15" customHeight="1">
      <x:c r="A1043" s="71" t="n">
        <x:v>45238</x:v>
      </x:c>
      <x:c r="B1043" s="72" t="n">
        <x:v>12.25</x:v>
      </x:c>
    </x:row>
    <x:row r="1044" s="43" customFormat="1" ht="15" customHeight="1">
      <x:c r="A1044" s="69" t="n">
        <x:v>45239</x:v>
      </x:c>
      <x:c r="B1044" s="70" t="n">
        <x:v>12.25</x:v>
      </x:c>
    </x:row>
    <x:row r="1045" s="43" customFormat="1" ht="15" customHeight="1">
      <x:c r="A1045" s="71" t="n">
        <x:v>45240</x:v>
      </x:c>
      <x:c r="B1045" s="72" t="n">
        <x:v>12.25</x:v>
      </x:c>
    </x:row>
    <x:row r="1046" s="43" customFormat="1" ht="15" customHeight="1">
      <x:c r="A1046" s="69" t="n">
        <x:v>45241</x:v>
      </x:c>
      <x:c r="B1046" s="70" t="n">
        <x:v>12.25</x:v>
      </x:c>
    </x:row>
    <x:row r="1047" s="43" customFormat="1" ht="15" customHeight="1">
      <x:c r="A1047" s="71" t="n">
        <x:v>45242</x:v>
      </x:c>
      <x:c r="B1047" s="72" t="n">
        <x:v>12.25</x:v>
      </x:c>
    </x:row>
    <x:row r="1048" s="43" customFormat="1" ht="15" customHeight="1">
      <x:c r="A1048" s="69" t="n">
        <x:v>45243</x:v>
      </x:c>
      <x:c r="B1048" s="70" t="n">
        <x:v>12.25</x:v>
      </x:c>
    </x:row>
    <x:row r="1049" s="43" customFormat="1" ht="15" customHeight="1">
      <x:c r="A1049" s="71" t="n">
        <x:v>45244</x:v>
      </x:c>
      <x:c r="B1049" s="72" t="n">
        <x:v>12.25</x:v>
      </x:c>
    </x:row>
    <x:row r="1050" s="43" customFormat="1" ht="15" customHeight="1">
      <x:c r="A1050" s="69" t="n">
        <x:v>45245</x:v>
      </x:c>
      <x:c r="B1050" s="70" t="n">
        <x:v>12.25</x:v>
      </x:c>
    </x:row>
    <x:row r="1051" s="43" customFormat="1" ht="15" customHeight="1">
      <x:c r="A1051" s="71" t="n">
        <x:v>45246</x:v>
      </x:c>
      <x:c r="B1051" s="72" t="n">
        <x:v>12.25</x:v>
      </x:c>
    </x:row>
    <x:row r="1052" s="43" customFormat="1" ht="15" customHeight="1">
      <x:c r="A1052" s="69" t="n">
        <x:v>45247</x:v>
      </x:c>
      <x:c r="B1052" s="70" t="n">
        <x:v>12.25</x:v>
      </x:c>
    </x:row>
    <x:row r="1053" s="43" customFormat="1" ht="15" customHeight="1">
      <x:c r="A1053" s="71" t="n">
        <x:v>45248</x:v>
      </x:c>
      <x:c r="B1053" s="72" t="n">
        <x:v>12.25</x:v>
      </x:c>
    </x:row>
    <x:row r="1054" s="43" customFormat="1" ht="15" customHeight="1">
      <x:c r="A1054" s="69" t="n">
        <x:v>45249</x:v>
      </x:c>
      <x:c r="B1054" s="70" t="n">
        <x:v>12.25</x:v>
      </x:c>
    </x:row>
    <x:row r="1055" s="43" customFormat="1" ht="15" customHeight="1">
      <x:c r="A1055" s="71" t="n">
        <x:v>45250</x:v>
      </x:c>
      <x:c r="B1055" s="72" t="n">
        <x:v>12.25</x:v>
      </x:c>
    </x:row>
    <x:row r="1056" s="43" customFormat="1" ht="15" customHeight="1">
      <x:c r="A1056" s="69" t="n">
        <x:v>45251</x:v>
      </x:c>
      <x:c r="B1056" s="70" t="n">
        <x:v>12.25</x:v>
      </x:c>
    </x:row>
    <x:row r="1057" s="43" customFormat="1" ht="15" customHeight="1">
      <x:c r="A1057" s="71" t="n">
        <x:v>45252</x:v>
      </x:c>
      <x:c r="B1057" s="72" t="n">
        <x:v>12.25</x:v>
      </x:c>
    </x:row>
    <x:row r="1058" s="43" customFormat="1" ht="15" customHeight="1">
      <x:c r="A1058" s="69" t="n">
        <x:v>45253</x:v>
      </x:c>
      <x:c r="B1058" s="70" t="n">
        <x:v>12.25</x:v>
      </x:c>
    </x:row>
    <x:row r="1059" s="43" customFormat="1" ht="15" customHeight="1">
      <x:c r="A1059" s="71" t="n">
        <x:v>45254</x:v>
      </x:c>
      <x:c r="B1059" s="72" t="n">
        <x:v>12.25</x:v>
      </x:c>
    </x:row>
    <x:row r="1060" s="43" customFormat="1" ht="15" customHeight="1">
      <x:c r="A1060" s="69" t="n">
        <x:v>45255</x:v>
      </x:c>
      <x:c r="B1060" s="70" t="n">
        <x:v>12.25</x:v>
      </x:c>
    </x:row>
    <x:row r="1061" s="43" customFormat="1" ht="15" customHeight="1">
      <x:c r="A1061" s="71" t="n">
        <x:v>45256</x:v>
      </x:c>
      <x:c r="B1061" s="72" t="n">
        <x:v>12.25</x:v>
      </x:c>
    </x:row>
    <x:row r="1062" s="43" customFormat="1" ht="15" customHeight="1">
      <x:c r="A1062" s="69" t="n">
        <x:v>45257</x:v>
      </x:c>
      <x:c r="B1062" s="70" t="n">
        <x:v>12.25</x:v>
      </x:c>
    </x:row>
    <x:row r="1063" s="43" customFormat="1" ht="15" customHeight="1">
      <x:c r="A1063" s="71" t="n">
        <x:v>45258</x:v>
      </x:c>
      <x:c r="B1063" s="72" t="n">
        <x:v>12.25</x:v>
      </x:c>
    </x:row>
    <x:row r="1064" s="43" customFormat="1" ht="15" customHeight="1">
      <x:c r="A1064" s="69" t="n">
        <x:v>45259</x:v>
      </x:c>
      <x:c r="B1064" s="70" t="n">
        <x:v>12.25</x:v>
      </x:c>
    </x:row>
    <x:row r="1065" s="43" customFormat="1" ht="15" customHeight="1">
      <x:c r="A1065" s="71" t="n">
        <x:v>45260</x:v>
      </x:c>
      <x:c r="B1065" s="72" t="n">
        <x:v>12.25</x:v>
      </x:c>
    </x:row>
    <x:row r="1066" s="43" customFormat="1" ht="15" customHeight="1">
      <x:c r="A1066" s="69" t="n">
        <x:v>45261</x:v>
      </x:c>
      <x:c r="B1066" s="70" t="n">
        <x:v>12.25</x:v>
      </x:c>
    </x:row>
    <x:row r="1067" s="43" customFormat="1" ht="15" customHeight="1">
      <x:c r="A1067" s="71" t="n">
        <x:v>45262</x:v>
      </x:c>
      <x:c r="B1067" s="72" t="n">
        <x:v>12.25</x:v>
      </x:c>
    </x:row>
    <x:row r="1068" s="43" customFormat="1" ht="15" customHeight="1">
      <x:c r="A1068" s="69" t="n">
        <x:v>45263</x:v>
      </x:c>
      <x:c r="B1068" s="70" t="n">
        <x:v>12.25</x:v>
      </x:c>
    </x:row>
    <x:row r="1069" s="43" customFormat="1" ht="15" customHeight="1">
      <x:c r="A1069" s="71" t="n">
        <x:v>45264</x:v>
      </x:c>
      <x:c r="B1069" s="72" t="n">
        <x:v>12.25</x:v>
      </x:c>
    </x:row>
    <x:row r="1070" s="43" customFormat="1" ht="15" customHeight="1">
      <x:c r="A1070" s="69" t="n">
        <x:v>45265</x:v>
      </x:c>
      <x:c r="B1070" s="70" t="n">
        <x:v>12.25</x:v>
      </x:c>
    </x:row>
    <x:row r="1071" s="43" customFormat="1" ht="15" customHeight="1">
      <x:c r="A1071" s="71" t="n">
        <x:v>45266</x:v>
      </x:c>
      <x:c r="B1071" s="72" t="n">
        <x:v>12.25</x:v>
      </x:c>
    </x:row>
    <x:row r="1072" s="43" customFormat="1" ht="15" customHeight="1">
      <x:c r="A1072" s="69" t="n">
        <x:v>45267</x:v>
      </x:c>
      <x:c r="B1072" s="70" t="n">
        <x:v>12.25</x:v>
      </x:c>
    </x:row>
    <x:row r="1073" s="43" customFormat="1" ht="15" customHeight="1">
      <x:c r="A1073" s="71" t="n">
        <x:v>45268</x:v>
      </x:c>
      <x:c r="B1073" s="72" t="n">
        <x:v>12.25</x:v>
      </x:c>
    </x:row>
    <x:row r="1074" s="43" customFormat="1" ht="15" customHeight="1">
      <x:c r="A1074" s="69" t="n">
        <x:v>45269</x:v>
      </x:c>
      <x:c r="B1074" s="70" t="n">
        <x:v>12.25</x:v>
      </x:c>
    </x:row>
    <x:row r="1075" s="43" customFormat="1" ht="15" customHeight="1">
      <x:c r="A1075" s="71" t="n">
        <x:v>45270</x:v>
      </x:c>
      <x:c r="B1075" s="72" t="n">
        <x:v>12.25</x:v>
      </x:c>
    </x:row>
    <x:row r="1076" s="43" customFormat="1" ht="15" customHeight="1">
      <x:c r="A1076" s="69" t="n">
        <x:v>45271</x:v>
      </x:c>
      <x:c r="B1076" s="70" t="n">
        <x:v>12.25</x:v>
      </x:c>
    </x:row>
    <x:row r="1077" s="43" customFormat="1" ht="15" customHeight="1">
      <x:c r="A1077" s="71" t="n">
        <x:v>45272</x:v>
      </x:c>
      <x:c r="B1077" s="72" t="n">
        <x:v>12.25</x:v>
      </x:c>
    </x:row>
    <x:row r="1078" s="43" customFormat="1" ht="15" customHeight="1">
      <x:c r="A1078" s="69" t="n">
        <x:v>45273</x:v>
      </x:c>
      <x:c r="B1078" s="70" t="n">
        <x:v>12.25</x:v>
      </x:c>
    </x:row>
    <x:row r="1079" s="43" customFormat="1" ht="15" customHeight="1">
      <x:c r="A1079" s="71" t="n">
        <x:v>45274</x:v>
      </x:c>
      <x:c r="B1079" s="72" t="n">
        <x:v>11.75</x:v>
      </x:c>
    </x:row>
    <x:row r="1080" s="43" customFormat="1" ht="15" customHeight="1">
      <x:c r="A1080" s="69" t="n">
        <x:v>45275</x:v>
      </x:c>
      <x:c r="B1080" s="70" t="n">
        <x:v>11.75</x:v>
      </x:c>
    </x:row>
    <x:row r="1081" s="43" customFormat="1" ht="15" customHeight="1">
      <x:c r="A1081" s="71" t="n">
        <x:v>45276</x:v>
      </x:c>
      <x:c r="B1081" s="72" t="n">
        <x:v>11.75</x:v>
      </x:c>
    </x:row>
    <x:row r="1082" s="43" customFormat="1" ht="15" customHeight="1">
      <x:c r="A1082" s="69" t="n">
        <x:v>45277</x:v>
      </x:c>
      <x:c r="B1082" s="70" t="n">
        <x:v>11.75</x:v>
      </x:c>
    </x:row>
    <x:row r="1083" s="43" customFormat="1" ht="15" customHeight="1">
      <x:c r="A1083" s="71" t="n">
        <x:v>45278</x:v>
      </x:c>
      <x:c r="B1083" s="72" t="n">
        <x:v>11.75</x:v>
      </x:c>
    </x:row>
    <x:row r="1084" s="43" customFormat="1" ht="15" customHeight="1">
      <x:c r="A1084" s="69" t="n">
        <x:v>45279</x:v>
      </x:c>
      <x:c r="B1084" s="70" t="n">
        <x:v>11.75</x:v>
      </x:c>
    </x:row>
    <x:row r="1085" s="43" customFormat="1" ht="15" customHeight="1">
      <x:c r="A1085" s="71" t="n">
        <x:v>45280</x:v>
      </x:c>
      <x:c r="B1085" s="72" t="n">
        <x:v>11.75</x:v>
      </x:c>
    </x:row>
    <x:row r="1086" s="43" customFormat="1" ht="15" customHeight="1">
      <x:c r="A1086" s="69" t="n">
        <x:v>45281</x:v>
      </x:c>
      <x:c r="B1086" s="70" t="n">
        <x:v>11.75</x:v>
      </x:c>
    </x:row>
    <x:row r="1087" s="43" customFormat="1" ht="15" customHeight="1">
      <x:c r="A1087" s="71" t="n">
        <x:v>45282</x:v>
      </x:c>
      <x:c r="B1087" s="72" t="n">
        <x:v>11.75</x:v>
      </x:c>
    </x:row>
    <x:row r="1088" s="43" customFormat="1" ht="15" customHeight="1">
      <x:c r="A1088" s="69" t="n">
        <x:v>45283</x:v>
      </x:c>
      <x:c r="B1088" s="70" t="n">
        <x:v>11.75</x:v>
      </x:c>
    </x:row>
    <x:row r="1089" s="43" customFormat="1" ht="15" customHeight="1">
      <x:c r="A1089" s="71" t="n">
        <x:v>45284</x:v>
      </x:c>
      <x:c r="B1089" s="72" t="n">
        <x:v>11.75</x:v>
      </x:c>
    </x:row>
    <x:row r="1090" s="43" customFormat="1" ht="15" customHeight="1">
      <x:c r="A1090" s="69" t="n">
        <x:v>45285</x:v>
      </x:c>
      <x:c r="B1090" s="70" t="n">
        <x:v>11.75</x:v>
      </x:c>
    </x:row>
    <x:row r="1091" s="43" customFormat="1" ht="15" customHeight="1">
      <x:c r="A1091" s="71" t="n">
        <x:v>45286</x:v>
      </x:c>
      <x:c r="B1091" s="72" t="n">
        <x:v>11.75</x:v>
      </x:c>
    </x:row>
    <x:row r="1092" s="43" customFormat="1" ht="15" customHeight="1">
      <x:c r="A1092" s="69" t="n">
        <x:v>45287</x:v>
      </x:c>
      <x:c r="B1092" s="70" t="n">
        <x:v>11.75</x:v>
      </x:c>
    </x:row>
    <x:row r="1093" s="43" customFormat="1" ht="15" customHeight="1">
      <x:c r="A1093" s="71" t="n">
        <x:v>45288</x:v>
      </x:c>
      <x:c r="B1093" s="72" t="n">
        <x:v>11.75</x:v>
      </x:c>
    </x:row>
    <x:row r="1094" s="43" customFormat="1" ht="15" customHeight="1">
      <x:c r="A1094" s="69" t="n">
        <x:v>45289</x:v>
      </x:c>
      <x:c r="B1094" s="70" t="n">
        <x:v>11.75</x:v>
      </x:c>
    </x:row>
    <x:row r="1095" s="43" customFormat="1" ht="15" customHeight="1">
      <x:c r="A1095" s="71" t="n">
        <x:v>45290</x:v>
      </x:c>
      <x:c r="B1095" s="72" t="n">
        <x:v>11.75</x:v>
      </x:c>
    </x:row>
    <x:row r="1096" s="43" customFormat="1" ht="15" customHeight="1">
      <x:c r="A1096" s="69" t="n">
        <x:v>45291</x:v>
      </x:c>
      <x:c r="B1096" s="70" t="n">
        <x:v>11.75</x:v>
      </x:c>
    </x:row>
    <x:row r="1097" s="43" customFormat="1" ht="15" customHeight="1">
      <x:c r="A1097" s="71" t="n">
        <x:v>45292</x:v>
      </x:c>
      <x:c r="B1097" s="72" t="n">
        <x:v>11.75</x:v>
      </x:c>
    </x:row>
    <x:row r="1098" s="43" customFormat="1" ht="15" customHeight="1">
      <x:c r="A1098" s="69" t="n">
        <x:v>45293</x:v>
      </x:c>
      <x:c r="B1098" s="70" t="n">
        <x:v>11.75</x:v>
      </x:c>
    </x:row>
    <x:row r="1099" s="43" customFormat="1" ht="15" customHeight="1">
      <x:c r="A1099" s="71" t="n">
        <x:v>45294</x:v>
      </x:c>
      <x:c r="B1099" s="72" t="n">
        <x:v>11.75</x:v>
      </x:c>
    </x:row>
    <x:row r="1100" s="43" customFormat="1" ht="15" customHeight="1">
      <x:c r="A1100" s="69" t="n">
        <x:v>45295</x:v>
      </x:c>
      <x:c r="B1100" s="70" t="n">
        <x:v>11.75</x:v>
      </x:c>
    </x:row>
    <x:row r="1101" s="43" customFormat="1" ht="15" customHeight="1">
      <x:c r="A1101" s="71" t="n">
        <x:v>45296</x:v>
      </x:c>
      <x:c r="B1101" s="72" t="n">
        <x:v>11.75</x:v>
      </x:c>
    </x:row>
    <x:row r="1102" s="43" customFormat="1" ht="15" customHeight="1">
      <x:c r="A1102" s="69" t="n">
        <x:v>45297</x:v>
      </x:c>
      <x:c r="B1102" s="70" t="n">
        <x:v>11.75</x:v>
      </x:c>
    </x:row>
    <x:row r="1103" s="43" customFormat="1" ht="15" customHeight="1">
      <x:c r="A1103" s="71" t="n">
        <x:v>45298</x:v>
      </x:c>
      <x:c r="B1103" s="72" t="n">
        <x:v>11.75</x:v>
      </x:c>
    </x:row>
    <x:row r="1104" s="43" customFormat="1" ht="15" customHeight="1">
      <x:c r="A1104" s="69" t="n">
        <x:v>45299</x:v>
      </x:c>
      <x:c r="B1104" s="70" t="n">
        <x:v>11.75</x:v>
      </x:c>
    </x:row>
    <x:row r="1105" s="43" customFormat="1" ht="15" customHeight="1">
      <x:c r="A1105" s="71" t="n">
        <x:v>45300</x:v>
      </x:c>
      <x:c r="B1105" s="72" t="n">
        <x:v>11.75</x:v>
      </x:c>
    </x:row>
    <x:row r="1106" s="43" customFormat="1" ht="15" customHeight="1">
      <x:c r="A1106" s="69" t="n">
        <x:v>45301</x:v>
      </x:c>
      <x:c r="B1106" s="70" t="n">
        <x:v>11.75</x:v>
      </x:c>
    </x:row>
    <x:row r="1107" s="43" customFormat="1" ht="15" customHeight="1">
      <x:c r="A1107" s="71" t="n">
        <x:v>45302</x:v>
      </x:c>
      <x:c r="B1107" s="72" t="n">
        <x:v>11.75</x:v>
      </x:c>
    </x:row>
    <x:row r="1108" s="43" customFormat="1" ht="15" customHeight="1">
      <x:c r="A1108" s="69" t="n">
        <x:v>45303</x:v>
      </x:c>
      <x:c r="B1108" s="70" t="n">
        <x:v>11.75</x:v>
      </x:c>
    </x:row>
    <x:row r="1109" s="43" customFormat="1" ht="15" customHeight="1">
      <x:c r="A1109" s="71" t="n">
        <x:v>45304</x:v>
      </x:c>
      <x:c r="B1109" s="72" t="n">
        <x:v>11.75</x:v>
      </x:c>
    </x:row>
    <x:row r="1110" s="43" customFormat="1" ht="15" customHeight="1">
      <x:c r="A1110" s="69" t="n">
        <x:v>45305</x:v>
      </x:c>
      <x:c r="B1110" s="70" t="n">
        <x:v>11.75</x:v>
      </x:c>
    </x:row>
    <x:row r="1111" s="43" customFormat="1" ht="15" customHeight="1">
      <x:c r="A1111" s="71" t="n">
        <x:v>45306</x:v>
      </x:c>
      <x:c r="B1111" s="72" t="n">
        <x:v>11.75</x:v>
      </x:c>
    </x:row>
    <x:row r="1112" s="43" customFormat="1" ht="15" customHeight="1">
      <x:c r="A1112" s="69" t="n">
        <x:v>45307</x:v>
      </x:c>
      <x:c r="B1112" s="70" t="n">
        <x:v>11.75</x:v>
      </x:c>
    </x:row>
    <x:row r="1113" s="43" customFormat="1" ht="15" customHeight="1">
      <x:c r="A1113" s="71" t="n">
        <x:v>45308</x:v>
      </x:c>
      <x:c r="B1113" s="72" t="n">
        <x:v>11.75</x:v>
      </x:c>
    </x:row>
    <x:row r="1114" s="43" customFormat="1" ht="15" customHeight="1">
      <x:c r="A1114" s="69" t="n">
        <x:v>45309</x:v>
      </x:c>
      <x:c r="B1114" s="70" t="n">
        <x:v>11.75</x:v>
      </x:c>
    </x:row>
    <x:row r="1115" s="43" customFormat="1" ht="15" customHeight="1">
      <x:c r="A1115" s="71" t="n">
        <x:v>45310</x:v>
      </x:c>
      <x:c r="B1115" s="72" t="n">
        <x:v>11.75</x:v>
      </x:c>
    </x:row>
    <x:row r="1116" s="43" customFormat="1" ht="15" customHeight="1">
      <x:c r="A1116" s="69" t="n">
        <x:v>45311</x:v>
      </x:c>
      <x:c r="B1116" s="70" t="n">
        <x:v>11.75</x:v>
      </x:c>
    </x:row>
    <x:row r="1117" s="43" customFormat="1" ht="15" customHeight="1">
      <x:c r="A1117" s="71" t="n">
        <x:v>45312</x:v>
      </x:c>
      <x:c r="B1117" s="72" t="n">
        <x:v>11.75</x:v>
      </x:c>
    </x:row>
    <x:row r="1118" s="43" customFormat="1" ht="15" customHeight="1">
      <x:c r="A1118" s="69" t="n">
        <x:v>45313</x:v>
      </x:c>
      <x:c r="B1118" s="70" t="n">
        <x:v>11.75</x:v>
      </x:c>
    </x:row>
    <x:row r="1119" s="43" customFormat="1" ht="15" customHeight="1">
      <x:c r="A1119" s="71" t="n">
        <x:v>45314</x:v>
      </x:c>
      <x:c r="B1119" s="72" t="n">
        <x:v>11.75</x:v>
      </x:c>
    </x:row>
    <x:row r="1120" s="43" customFormat="1" ht="15" customHeight="1">
      <x:c r="A1120" s="69" t="n">
        <x:v>45315</x:v>
      </x:c>
      <x:c r="B1120" s="70" t="n">
        <x:v>11.75</x:v>
      </x:c>
    </x:row>
    <x:row r="1121" s="43" customFormat="1" ht="15" customHeight="1">
      <x:c r="A1121" s="71" t="n">
        <x:v>45316</x:v>
      </x:c>
      <x:c r="B1121" s="72" t="n">
        <x:v>11.75</x:v>
      </x:c>
    </x:row>
    <x:row r="1122" s="43" customFormat="1" ht="15" customHeight="1">
      <x:c r="A1122" s="69" t="n">
        <x:v>45317</x:v>
      </x:c>
      <x:c r="B1122" s="70" t="n">
        <x:v>11.75</x:v>
      </x:c>
    </x:row>
    <x:row r="1123" s="43" customFormat="1" ht="15" customHeight="1">
      <x:c r="A1123" s="71" t="n">
        <x:v>45318</x:v>
      </x:c>
      <x:c r="B1123" s="72" t="n">
        <x:v>11.75</x:v>
      </x:c>
    </x:row>
    <x:row r="1124" s="43" customFormat="1" ht="15" customHeight="1">
      <x:c r="A1124" s="69" t="n">
        <x:v>45319</x:v>
      </x:c>
      <x:c r="B1124" s="70" t="n">
        <x:v>11.75</x:v>
      </x:c>
    </x:row>
    <x:row r="1125" s="43" customFormat="1" ht="15" customHeight="1">
      <x:c r="A1125" s="71" t="n">
        <x:v>45320</x:v>
      </x:c>
      <x:c r="B1125" s="72" t="n">
        <x:v>11.75</x:v>
      </x:c>
    </x:row>
    <x:row r="1126" s="43" customFormat="1" ht="15" customHeight="1">
      <x:c r="A1126" s="69" t="n">
        <x:v>45321</x:v>
      </x:c>
      <x:c r="B1126" s="70" t="n">
        <x:v>11.75</x:v>
      </x:c>
    </x:row>
    <x:row r="1127" s="43" customFormat="1" ht="15" customHeight="1">
      <x:c r="A1127" s="71" t="n">
        <x:v>45322</x:v>
      </x:c>
      <x:c r="B1127" s="72" t="n">
        <x:v>11.75</x:v>
      </x:c>
    </x:row>
    <x:row r="1128" s="43" customFormat="1" ht="15" customHeight="1">
      <x:c r="A1128" s="69" t="n">
        <x:v>45323</x:v>
      </x:c>
      <x:c r="B1128" s="70" t="n">
        <x:v>11.25</x:v>
      </x:c>
    </x:row>
    <x:row r="1129" s="43" customFormat="1" ht="15" customHeight="1">
      <x:c r="A1129" s="71" t="n">
        <x:v>45324</x:v>
      </x:c>
      <x:c r="B1129" s="72" t="n">
        <x:v>11.25</x:v>
      </x:c>
    </x:row>
    <x:row r="1130" s="43" customFormat="1" ht="15" customHeight="1">
      <x:c r="A1130" s="69" t="n">
        <x:v>45325</x:v>
      </x:c>
      <x:c r="B1130" s="70" t="n">
        <x:v>11.25</x:v>
      </x:c>
    </x:row>
    <x:row r="1131" s="43" customFormat="1" ht="15" customHeight="1">
      <x:c r="A1131" s="71" t="n">
        <x:v>45326</x:v>
      </x:c>
      <x:c r="B1131" s="72" t="n">
        <x:v>11.25</x:v>
      </x:c>
    </x:row>
    <x:row r="1132" s="43" customFormat="1" ht="15" customHeight="1">
      <x:c r="A1132" s="69" t="n">
        <x:v>45327</x:v>
      </x:c>
      <x:c r="B1132" s="70" t="n">
        <x:v>11.25</x:v>
      </x:c>
    </x:row>
    <x:row r="1133" s="43" customFormat="1" ht="15" customHeight="1">
      <x:c r="A1133" s="71" t="n">
        <x:v>45328</x:v>
      </x:c>
      <x:c r="B1133" s="72" t="n">
        <x:v>11.25</x:v>
      </x:c>
    </x:row>
    <x:row r="1134" s="43" customFormat="1" ht="15" customHeight="1">
      <x:c r="A1134" s="69" t="n">
        <x:v>45329</x:v>
      </x:c>
      <x:c r="B1134" s="70" t="n">
        <x:v>11.25</x:v>
      </x:c>
    </x:row>
    <x:row r="1135" s="43" customFormat="1" ht="15" customHeight="1">
      <x:c r="A1135" s="71" t="n">
        <x:v>45330</x:v>
      </x:c>
      <x:c r="B1135" s="72" t="n">
        <x:v>11.25</x:v>
      </x:c>
    </x:row>
    <x:row r="1136" s="43" customFormat="1" ht="15" customHeight="1">
      <x:c r="A1136" s="69" t="n">
        <x:v>45331</x:v>
      </x:c>
      <x:c r="B1136" s="70" t="n">
        <x:v>11.25</x:v>
      </x:c>
    </x:row>
    <x:row r="1137" s="43" customFormat="1" ht="15" customHeight="1">
      <x:c r="A1137" s="71" t="n">
        <x:v>45332</x:v>
      </x:c>
      <x:c r="B1137" s="72" t="n">
        <x:v>11.25</x:v>
      </x:c>
    </x:row>
    <x:row r="1138" s="43" customFormat="1" ht="15" customHeight="1">
      <x:c r="A1138" s="69" t="n">
        <x:v>45333</x:v>
      </x:c>
      <x:c r="B1138" s="70" t="n">
        <x:v>11.25</x:v>
      </x:c>
    </x:row>
    <x:row r="1139" s="43" customFormat="1" ht="15" customHeight="1">
      <x:c r="A1139" s="71" t="n">
        <x:v>45334</x:v>
      </x:c>
      <x:c r="B1139" s="72" t="n">
        <x:v>11.25</x:v>
      </x:c>
    </x:row>
    <x:row r="1140" s="43" customFormat="1" ht="15" customHeight="1">
      <x:c r="A1140" s="69" t="n">
        <x:v>45335</x:v>
      </x:c>
      <x:c r="B1140" s="70" t="n">
        <x:v>11.25</x:v>
      </x:c>
    </x:row>
    <x:row r="1141" s="43" customFormat="1" ht="15" customHeight="1">
      <x:c r="A1141" s="71" t="n">
        <x:v>45336</x:v>
      </x:c>
      <x:c r="B1141" s="72" t="n">
        <x:v>11.25</x:v>
      </x:c>
    </x:row>
    <x:row r="1142" s="43" customFormat="1" ht="15" customHeight="1">
      <x:c r="A1142" s="69" t="n">
        <x:v>45337</x:v>
      </x:c>
      <x:c r="B1142" s="70" t="n">
        <x:v>11.25</x:v>
      </x:c>
    </x:row>
    <x:row r="1143" s="43" customFormat="1" ht="15" customHeight="1">
      <x:c r="A1143" s="71" t="n">
        <x:v>45338</x:v>
      </x:c>
      <x:c r="B1143" s="72" t="n">
        <x:v>11.25</x:v>
      </x:c>
    </x:row>
    <x:row r="1144" s="43" customFormat="1" ht="15" customHeight="1">
      <x:c r="A1144" s="69" t="n">
        <x:v>45339</x:v>
      </x:c>
      <x:c r="B1144" s="70" t="n">
        <x:v>11.25</x:v>
      </x:c>
    </x:row>
    <x:row r="1145" s="43" customFormat="1" ht="15" customHeight="1">
      <x:c r="A1145" s="71" t="n">
        <x:v>45340</x:v>
      </x:c>
      <x:c r="B1145" s="72" t="n">
        <x:v>11.25</x:v>
      </x:c>
    </x:row>
    <x:row r="1146" s="43" customFormat="1" ht="15" customHeight="1">
      <x:c r="A1146" s="69" t="n">
        <x:v>45341</x:v>
      </x:c>
      <x:c r="B1146" s="70" t="n">
        <x:v>11.25</x:v>
      </x:c>
    </x:row>
    <x:row r="1147" s="43" customFormat="1" ht="15" customHeight="1">
      <x:c r="A1147" s="71" t="n">
        <x:v>45342</x:v>
      </x:c>
      <x:c r="B1147" s="72" t="n">
        <x:v>11.25</x:v>
      </x:c>
    </x:row>
    <x:row r="1148" s="43" customFormat="1" ht="15" customHeight="1">
      <x:c r="A1148" s="69" t="n">
        <x:v>45343</x:v>
      </x:c>
      <x:c r="B1148" s="70" t="n">
        <x:v>11.25</x:v>
      </x:c>
    </x:row>
    <x:row r="1149" s="43" customFormat="1" ht="15" customHeight="1">
      <x:c r="A1149" s="71" t="n">
        <x:v>45344</x:v>
      </x:c>
      <x:c r="B1149" s="72" t="n">
        <x:v>11.25</x:v>
      </x:c>
    </x:row>
    <x:row r="1150" s="43" customFormat="1" ht="15" customHeight="1">
      <x:c r="A1150" s="69" t="n">
        <x:v>45345</x:v>
      </x:c>
      <x:c r="B1150" s="70" t="n">
        <x:v>11.25</x:v>
      </x:c>
    </x:row>
    <x:row r="1151" s="43" customFormat="1" ht="15" customHeight="1">
      <x:c r="A1151" s="71" t="n">
        <x:v>45346</x:v>
      </x:c>
      <x:c r="B1151" s="72" t="n">
        <x:v>11.25</x:v>
      </x:c>
    </x:row>
    <x:row r="1152" s="43" customFormat="1" ht="15" customHeight="1">
      <x:c r="A1152" s="69" t="n">
        <x:v>45347</x:v>
      </x:c>
      <x:c r="B1152" s="70" t="n">
        <x:v>11.25</x:v>
      </x:c>
    </x:row>
    <x:row r="1153" s="43" customFormat="1" ht="15" customHeight="1">
      <x:c r="A1153" s="71" t="n">
        <x:v>45348</x:v>
      </x:c>
      <x:c r="B1153" s="72" t="n">
        <x:v>11.25</x:v>
      </x:c>
    </x:row>
    <x:row r="1154" s="43" customFormat="1" ht="15" customHeight="1">
      <x:c r="A1154" s="69" t="n">
        <x:v>45349</x:v>
      </x:c>
      <x:c r="B1154" s="70" t="n">
        <x:v>11.25</x:v>
      </x:c>
    </x:row>
    <x:row r="1155" s="43" customFormat="1" ht="15" customHeight="1">
      <x:c r="A1155" s="71" t="n">
        <x:v>45350</x:v>
      </x:c>
      <x:c r="B1155" s="72" t="n">
        <x:v>11.25</x:v>
      </x:c>
    </x:row>
    <x:row r="1156" s="43" customFormat="1" ht="15" customHeight="1">
      <x:c r="A1156" s="69" t="n">
        <x:v>45351</x:v>
      </x:c>
      <x:c r="B1156" s="70" t="n">
        <x:v>11.25</x:v>
      </x:c>
    </x:row>
    <x:row r="1157" s="43" customFormat="1" ht="15" customHeight="1">
      <x:c r="A1157" s="71" t="n">
        <x:v>45352</x:v>
      </x:c>
      <x:c r="B1157" s="72" t="n">
        <x:v>11.25</x:v>
      </x:c>
    </x:row>
    <x:row r="1158" s="43" customFormat="1" ht="15" customHeight="1">
      <x:c r="A1158" s="69" t="n">
        <x:v>45353</x:v>
      </x:c>
      <x:c r="B1158" s="70" t="n">
        <x:v>11.25</x:v>
      </x:c>
    </x:row>
    <x:row r="1159" s="43" customFormat="1" ht="15" customHeight="1">
      <x:c r="A1159" s="71" t="n">
        <x:v>45354</x:v>
      </x:c>
      <x:c r="B1159" s="72" t="n">
        <x:v>11.25</x:v>
      </x:c>
    </x:row>
    <x:row r="1160" s="43" customFormat="1" ht="15" customHeight="1">
      <x:c r="A1160" s="69" t="n">
        <x:v>45355</x:v>
      </x:c>
      <x:c r="B1160" s="70" t="n">
        <x:v>11.25</x:v>
      </x:c>
    </x:row>
    <x:row r="1161" s="43" customFormat="1" ht="15" customHeight="1">
      <x:c r="A1161" s="71" t="n">
        <x:v>45356</x:v>
      </x:c>
      <x:c r="B1161" s="72" t="n">
        <x:v>11.25</x:v>
      </x:c>
    </x:row>
    <x:row r="1162" s="43" customFormat="1" ht="15" customHeight="1">
      <x:c r="A1162" s="69" t="n">
        <x:v>45357</x:v>
      </x:c>
      <x:c r="B1162" s="70" t="n">
        <x:v>11.25</x:v>
      </x:c>
    </x:row>
    <x:row r="1163" s="43" customFormat="1" ht="15" customHeight="1">
      <x:c r="A1163" s="71" t="n">
        <x:v>45358</x:v>
      </x:c>
      <x:c r="B1163" s="72" t="n">
        <x:v>11.25</x:v>
      </x:c>
    </x:row>
    <x:row r="1164" s="43" customFormat="1" ht="15" customHeight="1">
      <x:c r="A1164" s="69" t="n">
        <x:v>45359</x:v>
      </x:c>
      <x:c r="B1164" s="70" t="n">
        <x:v>11.25</x:v>
      </x:c>
    </x:row>
    <x:row r="1165" s="43" customFormat="1" ht="15" customHeight="1">
      <x:c r="A1165" s="71" t="n">
        <x:v>45360</x:v>
      </x:c>
      <x:c r="B1165" s="72" t="n">
        <x:v>11.25</x:v>
      </x:c>
    </x:row>
    <x:row r="1166" s="43" customFormat="1" ht="15" customHeight="1">
      <x:c r="A1166" s="69" t="n">
        <x:v>45361</x:v>
      </x:c>
      <x:c r="B1166" s="70" t="n">
        <x:v>11.25</x:v>
      </x:c>
    </x:row>
    <x:row r="1167" s="43" customFormat="1" ht="15" customHeight="1">
      <x:c r="A1167" s="71" t="n">
        <x:v>45362</x:v>
      </x:c>
      <x:c r="B1167" s="72" t="n">
        <x:v>11.25</x:v>
      </x:c>
    </x:row>
    <x:row r="1168" s="43" customFormat="1" ht="15" customHeight="1">
      <x:c r="A1168" s="69" t="n">
        <x:v>45363</x:v>
      </x:c>
      <x:c r="B1168" s="70" t="n">
        <x:v>11.25</x:v>
      </x:c>
    </x:row>
    <x:row r="1169" s="43" customFormat="1" ht="15" customHeight="1">
      <x:c r="A1169" s="71" t="n">
        <x:v>45364</x:v>
      </x:c>
      <x:c r="B1169" s="72" t="n">
        <x:v>11.25</x:v>
      </x:c>
    </x:row>
    <x:row r="1170" s="43" customFormat="1" ht="15" customHeight="1">
      <x:c r="A1170" s="69" t="n">
        <x:v>45365</x:v>
      </x:c>
      <x:c r="B1170" s="70" t="n">
        <x:v>11.25</x:v>
      </x:c>
    </x:row>
    <x:row r="1171" s="43" customFormat="1" ht="15" customHeight="1">
      <x:c r="A1171" s="71" t="n">
        <x:v>45366</x:v>
      </x:c>
      <x:c r="B1171" s="72" t="n">
        <x:v>11.25</x:v>
      </x:c>
    </x:row>
    <x:row r="1172" s="43" customFormat="1" ht="15" customHeight="1">
      <x:c r="A1172" s="69" t="n">
        <x:v>45367</x:v>
      </x:c>
      <x:c r="B1172" s="70" t="n">
        <x:v>11.25</x:v>
      </x:c>
    </x:row>
    <x:row r="1173" s="43" customFormat="1" ht="15" customHeight="1">
      <x:c r="A1173" s="71" t="n">
        <x:v>45368</x:v>
      </x:c>
      <x:c r="B1173" s="72" t="n">
        <x:v>11.25</x:v>
      </x:c>
    </x:row>
    <x:row r="1174" s="43" customFormat="1" ht="15" customHeight="1">
      <x:c r="A1174" s="69" t="n">
        <x:v>45369</x:v>
      </x:c>
      <x:c r="B1174" s="70" t="n">
        <x:v>11.25</x:v>
      </x:c>
    </x:row>
    <x:row r="1175" s="43" customFormat="1" ht="15" customHeight="1">
      <x:c r="A1175" s="71" t="n">
        <x:v>45370</x:v>
      </x:c>
      <x:c r="B1175" s="72" t="n">
        <x:v>11.25</x:v>
      </x:c>
    </x:row>
    <x:row r="1176" s="43" customFormat="1" ht="15" customHeight="1">
      <x:c r="A1176" s="69" t="n">
        <x:v>45371</x:v>
      </x:c>
      <x:c r="B1176" s="70" t="n">
        <x:v>11.25</x:v>
      </x:c>
    </x:row>
    <x:row r="1177" s="43" customFormat="1" ht="15" customHeight="1">
      <x:c r="A1177" s="71" t="n">
        <x:v>45372</x:v>
      </x:c>
      <x:c r="B1177" s="72" t="n">
        <x:v>10.75</x:v>
      </x:c>
    </x:row>
    <x:row r="1178" s="43" customFormat="1" ht="15" customHeight="1">
      <x:c r="A1178" s="69" t="n">
        <x:v>45373</x:v>
      </x:c>
      <x:c r="B1178" s="70" t="n">
        <x:v>10.75</x:v>
      </x:c>
    </x:row>
    <x:row r="1179" s="43" customFormat="1" ht="15" customHeight="1">
      <x:c r="A1179" s="71" t="n">
        <x:v>45374</x:v>
      </x:c>
      <x:c r="B1179" s="72" t="n">
        <x:v>10.75</x:v>
      </x:c>
    </x:row>
    <x:row r="1180" s="43" customFormat="1" ht="15" customHeight="1">
      <x:c r="A1180" s="69" t="n">
        <x:v>45375</x:v>
      </x:c>
      <x:c r="B1180" s="70" t="n">
        <x:v>10.75</x:v>
      </x:c>
    </x:row>
    <x:row r="1181" s="43" customFormat="1" ht="15" customHeight="1">
      <x:c r="A1181" s="71" t="n">
        <x:v>45376</x:v>
      </x:c>
      <x:c r="B1181" s="72" t="n">
        <x:v>10.75</x:v>
      </x:c>
    </x:row>
    <x:row r="1182" s="43" customFormat="1" ht="15" customHeight="1">
      <x:c r="A1182" s="69" t="n">
        <x:v>45377</x:v>
      </x:c>
      <x:c r="B1182" s="70" t="n">
        <x:v>10.75</x:v>
      </x:c>
    </x:row>
    <x:row r="1183" s="43" customFormat="1" ht="15" customHeight="1">
      <x:c r="A1183" s="71" t="n">
        <x:v>45378</x:v>
      </x:c>
      <x:c r="B1183" s="72" t="n">
        <x:v>10.75</x:v>
      </x:c>
    </x:row>
    <x:row r="1184" s="43" customFormat="1" ht="15" customHeight="1">
      <x:c r="A1184" s="69" t="n">
        <x:v>45379</x:v>
      </x:c>
      <x:c r="B1184" s="70" t="n">
        <x:v>10.75</x:v>
      </x:c>
    </x:row>
    <x:row r="1185" s="43" customFormat="1" ht="15" customHeight="1">
      <x:c r="A1185" s="71" t="n">
        <x:v>45380</x:v>
      </x:c>
      <x:c r="B1185" s="72" t="n">
        <x:v>10.75</x:v>
      </x:c>
    </x:row>
    <x:row r="1186" s="43" customFormat="1" ht="15" customHeight="1">
      <x:c r="A1186" s="69" t="n">
        <x:v>45381</x:v>
      </x:c>
      <x:c r="B1186" s="70" t="n">
        <x:v>10.75</x:v>
      </x:c>
    </x:row>
    <x:row r="1187" s="43" customFormat="1" ht="15" customHeight="1">
      <x:c r="A1187" s="71" t="n">
        <x:v>45382</x:v>
      </x:c>
      <x:c r="B1187" s="72" t="n">
        <x:v>10.75</x:v>
      </x:c>
    </x:row>
    <x:row r="1188" s="43" customFormat="1" ht="15" customHeight="1">
      <x:c r="A1188" s="69" t="n">
        <x:v>45383</x:v>
      </x:c>
      <x:c r="B1188" s="70" t="n">
        <x:v>10.75</x:v>
      </x:c>
    </x:row>
    <x:row r="1189" s="43" customFormat="1" ht="15" customHeight="1">
      <x:c r="A1189" s="71" t="n">
        <x:v>45384</x:v>
      </x:c>
      <x:c r="B1189" s="72" t="n">
        <x:v>10.75</x:v>
      </x:c>
    </x:row>
    <x:row r="1190" s="43" customFormat="1" ht="15" customHeight="1">
      <x:c r="A1190" s="69" t="n">
        <x:v>45385</x:v>
      </x:c>
      <x:c r="B1190" s="70" t="n">
        <x:v>10.75</x:v>
      </x:c>
    </x:row>
    <x:row r="1191" s="43" customFormat="1" ht="15" customHeight="1">
      <x:c r="A1191" s="71" t="n">
        <x:v>45386</x:v>
      </x:c>
      <x:c r="B1191" s="72" t="n">
        <x:v>10.75</x:v>
      </x:c>
    </x:row>
    <x:row r="1192" s="43" customFormat="1" ht="15" customHeight="1">
      <x:c r="A1192" s="69" t="n">
        <x:v>45387</x:v>
      </x:c>
      <x:c r="B1192" s="70" t="n">
        <x:v>10.75</x:v>
      </x:c>
    </x:row>
    <x:row r="1193" s="43" customFormat="1" ht="15" customHeight="1">
      <x:c r="A1193" s="71" t="n">
        <x:v>45388</x:v>
      </x:c>
      <x:c r="B1193" s="72" t="n">
        <x:v>10.75</x:v>
      </x:c>
    </x:row>
    <x:row r="1194" s="43" customFormat="1" ht="15" customHeight="1">
      <x:c r="A1194" s="69" t="n">
        <x:v>45389</x:v>
      </x:c>
      <x:c r="B1194" s="70" t="n">
        <x:v>10.75</x:v>
      </x:c>
    </x:row>
    <x:row r="1195" s="43" customFormat="1" ht="15" customHeight="1">
      <x:c r="A1195" s="71" t="n">
        <x:v>45390</x:v>
      </x:c>
      <x:c r="B1195" s="72" t="n">
        <x:v>10.75</x:v>
      </x:c>
    </x:row>
    <x:row r="1196" s="43" customFormat="1" ht="15" customHeight="1">
      <x:c r="A1196" s="69" t="n">
        <x:v>45391</x:v>
      </x:c>
      <x:c r="B1196" s="70" t="n">
        <x:v>10.75</x:v>
      </x:c>
    </x:row>
    <x:row r="1197" s="43" customFormat="1" ht="15" customHeight="1">
      <x:c r="A1197" s="71" t="n">
        <x:v>45392</x:v>
      </x:c>
      <x:c r="B1197" s="72" t="n">
        <x:v>10.75</x:v>
      </x:c>
    </x:row>
    <x:row r="1198" s="43" customFormat="1" ht="15" customHeight="1">
      <x:c r="A1198" s="69" t="n">
        <x:v>45393</x:v>
      </x:c>
      <x:c r="B1198" s="70" t="n">
        <x:v>10.75</x:v>
      </x:c>
    </x:row>
    <x:row r="1199" s="43" customFormat="1" ht="15" customHeight="1">
      <x:c r="A1199" s="71" t="n">
        <x:v>45394</x:v>
      </x:c>
      <x:c r="B1199" s="72" t="n">
        <x:v>10.75</x:v>
      </x:c>
    </x:row>
    <x:row r="1200" s="43" customFormat="1" ht="15" customHeight="1">
      <x:c r="A1200" s="69" t="n">
        <x:v>45395</x:v>
      </x:c>
      <x:c r="B1200" s="70" t="n">
        <x:v>10.75</x:v>
      </x:c>
    </x:row>
    <x:row r="1201" s="43" customFormat="1" ht="15" customHeight="1">
      <x:c r="A1201" s="71" t="n">
        <x:v>45396</x:v>
      </x:c>
      <x:c r="B1201" s="72" t="n">
        <x:v>10.75</x:v>
      </x:c>
    </x:row>
    <x:row r="1202" s="43" customFormat="1" ht="15" customHeight="1">
      <x:c r="A1202" s="69" t="n">
        <x:v>45397</x:v>
      </x:c>
      <x:c r="B1202" s="70" t="n">
        <x:v>10.75</x:v>
      </x:c>
    </x:row>
    <x:row r="1203" s="43" customFormat="1" ht="15" customHeight="1">
      <x:c r="A1203" s="71" t="n">
        <x:v>45398</x:v>
      </x:c>
      <x:c r="B1203" s="72" t="n">
        <x:v>10.75</x:v>
      </x:c>
    </x:row>
    <x:row r="1204" s="43" customFormat="1" ht="15" customHeight="1">
      <x:c r="A1204" s="69" t="n">
        <x:v>45399</x:v>
      </x:c>
      <x:c r="B1204" s="70" t="n">
        <x:v>10.75</x:v>
      </x:c>
    </x:row>
    <x:row r="1205" s="43" customFormat="1" ht="15" customHeight="1">
      <x:c r="A1205" s="71" t="n">
        <x:v>45400</x:v>
      </x:c>
      <x:c r="B1205" s="72" t="n">
        <x:v>10.75</x:v>
      </x:c>
    </x:row>
    <x:row r="1206" s="43" customFormat="1" ht="15" customHeight="1">
      <x:c r="A1206" s="69" t="n">
        <x:v>45401</x:v>
      </x:c>
      <x:c r="B1206" s="70" t="n">
        <x:v>10.75</x:v>
      </x:c>
    </x:row>
    <x:row r="1207" s="43" customFormat="1" ht="15" customHeight="1">
      <x:c r="A1207" s="71" t="n">
        <x:v>45402</x:v>
      </x:c>
      <x:c r="B1207" s="72" t="n">
        <x:v>10.75</x:v>
      </x:c>
    </x:row>
    <x:row r="1208" s="43" customFormat="1" ht="15" customHeight="1">
      <x:c r="A1208" s="69" t="n">
        <x:v>45403</x:v>
      </x:c>
      <x:c r="B1208" s="70" t="n">
        <x:v>10.75</x:v>
      </x:c>
    </x:row>
    <x:row r="1209" s="43" customFormat="1" ht="15" customHeight="1">
      <x:c r="A1209" s="71" t="n">
        <x:v>45404</x:v>
      </x:c>
      <x:c r="B1209" s="72" t="n">
        <x:v>10.75</x:v>
      </x:c>
    </x:row>
    <x:row r="1210" s="43" customFormat="1" ht="15" customHeight="1">
      <x:c r="A1210" s="69" t="n">
        <x:v>45405</x:v>
      </x:c>
      <x:c r="B1210" s="70" t="n">
        <x:v>10.75</x:v>
      </x:c>
    </x:row>
    <x:row r="1211" s="43" customFormat="1" ht="15" customHeight="1">
      <x:c r="A1211" s="71" t="n">
        <x:v>45406</x:v>
      </x:c>
      <x:c r="B1211" s="72" t="n">
        <x:v>10.75</x:v>
      </x:c>
    </x:row>
    <x:row r="1212" s="43" customFormat="1" ht="15" customHeight="1">
      <x:c r="A1212" s="69" t="n">
        <x:v>45407</x:v>
      </x:c>
      <x:c r="B1212" s="70" t="n">
        <x:v>10.75</x:v>
      </x:c>
    </x:row>
    <x:row r="1213" s="43" customFormat="1" ht="15" customHeight="1">
      <x:c r="A1213" s="71" t="n">
        <x:v>45408</x:v>
      </x:c>
      <x:c r="B1213" s="72" t="n">
        <x:v>10.75</x:v>
      </x:c>
    </x:row>
    <x:row r="1214" s="43" customFormat="1" ht="15" customHeight="1">
      <x:c r="A1214" s="69" t="n">
        <x:v>45409</x:v>
      </x:c>
      <x:c r="B1214" s="70" t="n">
        <x:v>10.75</x:v>
      </x:c>
    </x:row>
    <x:row r="1215" s="43" customFormat="1" ht="15" customHeight="1">
      <x:c r="A1215" s="71" t="n">
        <x:v>45410</x:v>
      </x:c>
      <x:c r="B1215" s="72" t="n">
        <x:v>10.75</x:v>
      </x:c>
    </x:row>
    <x:row r="1216" s="43" customFormat="1" ht="15" customHeight="1">
      <x:c r="A1216" s="69" t="n">
        <x:v>45411</x:v>
      </x:c>
      <x:c r="B1216" s="70" t="n">
        <x:v>10.75</x:v>
      </x:c>
    </x:row>
    <x:row r="1217" s="43" customFormat="1" ht="15" customHeight="1">
      <x:c r="A1217" s="71" t="n">
        <x:v>45412</x:v>
      </x:c>
      <x:c r="B1217" s="72" t="n">
        <x:v>10.75</x:v>
      </x:c>
    </x:row>
    <x:row r="1218" s="43" customFormat="1" ht="15" customHeight="1">
      <x:c r="A1218" s="69" t="n">
        <x:v>45413</x:v>
      </x:c>
      <x:c r="B1218" s="70" t="n">
        <x:v>10.75</x:v>
      </x:c>
    </x:row>
    <x:row r="1219" s="43" customFormat="1" ht="15" customHeight="1">
      <x:c r="A1219" s="71" t="n">
        <x:v>45414</x:v>
      </x:c>
      <x:c r="B1219" s="72" t="n">
        <x:v>10.75</x:v>
      </x:c>
    </x:row>
    <x:row r="1220" s="43" customFormat="1" ht="15" customHeight="1">
      <x:c r="A1220" s="69" t="n">
        <x:v>45415</x:v>
      </x:c>
      <x:c r="B1220" s="70" t="n">
        <x:v>10.75</x:v>
      </x:c>
    </x:row>
    <x:row r="1221" s="43" customFormat="1" ht="15" customHeight="1">
      <x:c r="A1221" s="71" t="n">
        <x:v>45416</x:v>
      </x:c>
      <x:c r="B1221" s="72" t="n">
        <x:v>10.75</x:v>
      </x:c>
    </x:row>
    <x:row r="1222" s="43" customFormat="1" ht="15" customHeight="1">
      <x:c r="A1222" s="69" t="n">
        <x:v>45417</x:v>
      </x:c>
      <x:c r="B1222" s="70" t="n">
        <x:v>10.75</x:v>
      </x:c>
    </x:row>
    <x:row r="1223" s="43" customFormat="1" ht="15" customHeight="1">
      <x:c r="A1223" s="71" t="n">
        <x:v>45418</x:v>
      </x:c>
      <x:c r="B1223" s="72" t="n">
        <x:v>10.75</x:v>
      </x:c>
    </x:row>
    <x:row r="1224" s="43" customFormat="1" ht="15" customHeight="1">
      <x:c r="A1224" s="69" t="n">
        <x:v>45419</x:v>
      </x:c>
      <x:c r="B1224" s="70" t="n">
        <x:v>10.75</x:v>
      </x:c>
    </x:row>
    <x:row r="1225" s="43" customFormat="1" ht="15" customHeight="1">
      <x:c r="A1225" s="71" t="n">
        <x:v>45420</x:v>
      </x:c>
      <x:c r="B1225" s="72" t="n">
        <x:v>10.75</x:v>
      </x:c>
    </x:row>
    <x:row r="1226" s="43" customFormat="1" ht="15" customHeight="1">
      <x:c r="A1226" s="69" t="n">
        <x:v>45421</x:v>
      </x:c>
      <x:c r="B1226" s="70" t="n">
        <x:v>10.5</x:v>
      </x:c>
    </x:row>
    <x:row r="1227" s="43" customFormat="1" ht="15" customHeight="1">
      <x:c r="A1227" s="71" t="n">
        <x:v>45422</x:v>
      </x:c>
      <x:c r="B1227" s="72" t="n">
        <x:v>10.5</x:v>
      </x:c>
    </x:row>
    <x:row r="1228" s="43" customFormat="1" ht="15" customHeight="1">
      <x:c r="A1228" s="69" t="n">
        <x:v>45423</x:v>
      </x:c>
      <x:c r="B1228" s="70" t="n">
        <x:v>10.5</x:v>
      </x:c>
    </x:row>
    <x:row r="1229" s="43" customFormat="1" ht="15" customHeight="1">
      <x:c r="A1229" s="71" t="n">
        <x:v>45424</x:v>
      </x:c>
      <x:c r="B1229" s="72" t="n">
        <x:v>10.5</x:v>
      </x:c>
    </x:row>
    <x:row r="1230" s="43" customFormat="1" ht="15" customHeight="1">
      <x:c r="A1230" s="69" t="n">
        <x:v>45425</x:v>
      </x:c>
      <x:c r="B1230" s="70" t="n">
        <x:v>10.5</x:v>
      </x:c>
    </x:row>
    <x:row r="1231" s="43" customFormat="1" ht="15" customHeight="1">
      <x:c r="A1231" s="71" t="n">
        <x:v>45426</x:v>
      </x:c>
      <x:c r="B1231" s="72" t="n">
        <x:v>10.5</x:v>
      </x:c>
    </x:row>
    <x:row r="1232" s="43" customFormat="1" ht="15" customHeight="1">
      <x:c r="A1232" s="69" t="n">
        <x:v>45427</x:v>
      </x:c>
      <x:c r="B1232" s="70" t="n">
        <x:v>10.5</x:v>
      </x:c>
    </x:row>
    <x:row r="1233" s="43" customFormat="1" ht="15" customHeight="1">
      <x:c r="A1233" s="71" t="n">
        <x:v>45428</x:v>
      </x:c>
      <x:c r="B1233" s="72" t="n">
        <x:v>10.5</x:v>
      </x:c>
    </x:row>
    <x:row r="1234" s="43" customFormat="1" ht="15" customHeight="1">
      <x:c r="A1234" s="69" t="n">
        <x:v>45429</x:v>
      </x:c>
      <x:c r="B1234" s="70" t="n">
        <x:v>10.5</x:v>
      </x:c>
    </x:row>
    <x:row r="1235" s="43" customFormat="1" ht="15" customHeight="1">
      <x:c r="A1235" s="71" t="n">
        <x:v>45430</x:v>
      </x:c>
      <x:c r="B1235" s="72" t="n">
        <x:v>10.5</x:v>
      </x:c>
    </x:row>
    <x:row r="1236" s="43" customFormat="1" ht="15" customHeight="1">
      <x:c r="A1236" s="69" t="n">
        <x:v>45431</x:v>
      </x:c>
      <x:c r="B1236" s="70" t="n">
        <x:v>10.5</x:v>
      </x:c>
    </x:row>
    <x:row r="1237" s="43" customFormat="1" ht="15" customHeight="1">
      <x:c r="A1237" s="71" t="n">
        <x:v>45432</x:v>
      </x:c>
      <x:c r="B1237" s="72" t="n">
        <x:v>10.5</x:v>
      </x:c>
    </x:row>
    <x:row r="1238" s="43" customFormat="1" ht="15" customHeight="1">
      <x:c r="A1238" s="69" t="n">
        <x:v>45433</x:v>
      </x:c>
      <x:c r="B1238" s="70" t="n">
        <x:v>10.5</x:v>
      </x:c>
    </x:row>
    <x:row r="1239" s="43" customFormat="1" ht="15" customHeight="1">
      <x:c r="A1239" s="71" t="n">
        <x:v>45434</x:v>
      </x:c>
      <x:c r="B1239" s="72" t="n">
        <x:v>10.5</x:v>
      </x:c>
    </x:row>
    <x:row r="1240" s="43" customFormat="1" ht="15" customHeight="1">
      <x:c r="A1240" s="69" t="n">
        <x:v>45435</x:v>
      </x:c>
      <x:c r="B1240" s="70" t="n">
        <x:v>10.5</x:v>
      </x:c>
    </x:row>
    <x:row r="1241" s="43" customFormat="1" ht="15" customHeight="1">
      <x:c r="A1241" s="71" t="n">
        <x:v>45436</x:v>
      </x:c>
      <x:c r="B1241" s="72" t="n">
        <x:v>10.5</x:v>
      </x:c>
    </x:row>
    <x:row r="1242" s="43" customFormat="1" ht="15" customHeight="1">
      <x:c r="A1242" s="69" t="n">
        <x:v>45437</x:v>
      </x:c>
      <x:c r="B1242" s="70" t="n">
        <x:v>10.5</x:v>
      </x:c>
    </x:row>
    <x:row r="1243" s="43" customFormat="1" ht="15" customHeight="1">
      <x:c r="A1243" s="71" t="n">
        <x:v>45438</x:v>
      </x:c>
      <x:c r="B1243" s="72" t="n">
        <x:v>10.5</x:v>
      </x:c>
    </x:row>
    <x:row r="1244" s="43" customFormat="1" ht="15" customHeight="1">
      <x:c r="A1244" s="69" t="n">
        <x:v>45439</x:v>
      </x:c>
      <x:c r="B1244" s="70" t="n">
        <x:v>10.5</x:v>
      </x:c>
    </x:row>
    <x:row r="1245" s="43" customFormat="1" ht="15" customHeight="1">
      <x:c r="A1245" s="71" t="n">
        <x:v>45440</x:v>
      </x:c>
      <x:c r="B1245" s="72" t="n">
        <x:v>10.5</x:v>
      </x:c>
    </x:row>
    <x:row r="1246" s="43" customFormat="1" ht="15" customHeight="1">
      <x:c r="A1246" s="69" t="n">
        <x:v>45441</x:v>
      </x:c>
      <x:c r="B1246" s="70" t="n">
        <x:v>10.5</x:v>
      </x:c>
    </x:row>
    <x:row r="1247" s="43" customFormat="1" ht="15" customHeight="1">
      <x:c r="A1247" s="71" t="n">
        <x:v>45442</x:v>
      </x:c>
      <x:c r="B1247" s="72" t="n">
        <x:v>10.5</x:v>
      </x:c>
    </x:row>
    <x:row r="1248" s="43" customFormat="1" ht="15" customHeight="1">
      <x:c r="A1248" s="69" t="n">
        <x:v>45443</x:v>
      </x:c>
      <x:c r="B1248" s="70" t="n">
        <x:v>10.5</x:v>
      </x:c>
    </x:row>
    <x:row r="1249" s="43" customFormat="1" ht="15" customHeight="1">
      <x:c r="A1249" s="71" t="n">
        <x:v>45444</x:v>
      </x:c>
      <x:c r="B1249" s="72" t="n">
        <x:v>10.5</x:v>
      </x:c>
    </x:row>
    <x:row r="1250" s="43" customFormat="1" ht="15" customHeight="1">
      <x:c r="A1250" s="69" t="n">
        <x:v>45445</x:v>
      </x:c>
      <x:c r="B1250" s="70" t="n">
        <x:v>10.5</x:v>
      </x:c>
    </x:row>
    <x:row r="1251" s="43" customFormat="1" ht="15" customHeight="1">
      <x:c r="A1251" s="71" t="n">
        <x:v>45446</x:v>
      </x:c>
      <x:c r="B1251" s="72" t="n">
        <x:v>10.5</x:v>
      </x:c>
    </x:row>
    <x:row r="1252" s="43" customFormat="1" ht="15" customHeight="1">
      <x:c r="A1252" s="69" t="n">
        <x:v>45447</x:v>
      </x:c>
      <x:c r="B1252" s="70" t="n">
        <x:v>10.5</x:v>
      </x:c>
    </x:row>
    <x:row r="1253" s="43" customFormat="1" ht="15" customHeight="1">
      <x:c r="A1253" s="71" t="n">
        <x:v>45448</x:v>
      </x:c>
      <x:c r="B1253" s="72" t="n">
        <x:v>10.5</x:v>
      </x:c>
    </x:row>
    <x:row r="1254" s="43" customFormat="1" ht="15" customHeight="1">
      <x:c r="A1254" s="69" t="n">
        <x:v>45449</x:v>
      </x:c>
      <x:c r="B1254" s="70" t="n">
        <x:v>10.5</x:v>
      </x:c>
    </x:row>
    <x:row r="1255" s="43" customFormat="1" ht="15" customHeight="1">
      <x:c r="A1255" s="71" t="n">
        <x:v>45450</x:v>
      </x:c>
      <x:c r="B1255" s="72" t="n">
        <x:v>10.5</x:v>
      </x:c>
    </x:row>
    <x:row r="1256" s="43" customFormat="1" ht="15" customHeight="1">
      <x:c r="A1256" s="69" t="n">
        <x:v>45451</x:v>
      </x:c>
      <x:c r="B1256" s="70" t="n">
        <x:v>10.5</x:v>
      </x:c>
    </x:row>
    <x:row r="1257" s="43" customFormat="1" ht="15" customHeight="1">
      <x:c r="A1257" s="71" t="n">
        <x:v>45452</x:v>
      </x:c>
      <x:c r="B1257" s="72" t="n">
        <x:v>10.5</x:v>
      </x:c>
    </x:row>
    <x:row r="1258" s="43" customFormat="1" ht="15" customHeight="1">
      <x:c r="A1258" s="69" t="n">
        <x:v>45453</x:v>
      </x:c>
      <x:c r="B1258" s="70" t="n">
        <x:v>10.5</x:v>
      </x:c>
    </x:row>
    <x:row r="1259" s="43" customFormat="1" ht="15" customHeight="1">
      <x:c r="A1259" s="71" t="n">
        <x:v>45454</x:v>
      </x:c>
      <x:c r="B1259" s="72" t="n">
        <x:v>10.5</x:v>
      </x:c>
    </x:row>
    <x:row r="1260" s="43" customFormat="1" ht="15" customHeight="1">
      <x:c r="A1260" s="69" t="n">
        <x:v>45455</x:v>
      </x:c>
      <x:c r="B1260" s="70" t="n">
        <x:v>10.5</x:v>
      </x:c>
    </x:row>
    <x:row r="1261" s="43" customFormat="1" ht="15" customHeight="1">
      <x:c r="A1261" s="71" t="n">
        <x:v>45456</x:v>
      </x:c>
      <x:c r="B1261" s="72" t="n">
        <x:v>10.5</x:v>
      </x:c>
    </x:row>
    <x:row r="1262" s="43" customFormat="1" ht="15" customHeight="1">
      <x:c r="A1262" s="69" t="n">
        <x:v>45457</x:v>
      </x:c>
      <x:c r="B1262" s="70" t="n">
        <x:v>10.5</x:v>
      </x:c>
    </x:row>
    <x:row r="1263" s="43" customFormat="1" ht="15" customHeight="1">
      <x:c r="A1263" s="71" t="n">
        <x:v>45458</x:v>
      </x:c>
      <x:c r="B1263" s="72" t="n">
        <x:v>10.5</x:v>
      </x:c>
    </x:row>
    <x:row r="1264" s="43" customFormat="1" ht="15" customHeight="1">
      <x:c r="A1264" s="69" t="n">
        <x:v>45459</x:v>
      </x:c>
      <x:c r="B1264" s="70" t="n">
        <x:v>10.5</x:v>
      </x:c>
    </x:row>
    <x:row r="1265" s="43" customFormat="1" ht="15" customHeight="1">
      <x:c r="A1265" s="71" t="n">
        <x:v>45460</x:v>
      </x:c>
      <x:c r="B1265" s="72" t="n">
        <x:v>10.5</x:v>
      </x:c>
    </x:row>
    <x:row r="1266" s="43" customFormat="1" ht="15" customHeight="1">
      <x:c r="A1266" s="69" t="n">
        <x:v>45461</x:v>
      </x:c>
      <x:c r="B1266" s="70" t="n">
        <x:v>10.5</x:v>
      </x:c>
    </x:row>
    <x:row r="1267" s="43" customFormat="1" ht="15" customHeight="1">
      <x:c r="A1267" s="71" t="n">
        <x:v>45462</x:v>
      </x:c>
      <x:c r="B1267" s="72" t="n">
        <x:v>10.5</x:v>
      </x:c>
    </x:row>
    <x:row r="1268" s="43" customFormat="1" ht="15" customHeight="1">
      <x:c r="A1268" s="69" t="n">
        <x:v>45463</x:v>
      </x:c>
      <x:c r="B1268" s="70" t="n">
        <x:v>10.5</x:v>
      </x:c>
    </x:row>
    <x:row r="1269" s="43" customFormat="1" ht="15" customHeight="1">
      <x:c r="A1269" s="71" t="n">
        <x:v>45464</x:v>
      </x:c>
      <x:c r="B1269" s="72" t="n">
        <x:v>10.5</x:v>
      </x:c>
    </x:row>
    <x:row r="1270" s="43" customFormat="1" ht="15" customHeight="1">
      <x:c r="A1270" s="69" t="n">
        <x:v>45465</x:v>
      </x:c>
      <x:c r="B1270" s="70" t="n">
        <x:v>10.5</x:v>
      </x:c>
    </x:row>
    <x:row r="1271" s="43" customFormat="1" ht="15" customHeight="1">
      <x:c r="A1271" s="71" t="n">
        <x:v>45466</x:v>
      </x:c>
      <x:c r="B1271" s="72" t="n">
        <x:v>10.5</x:v>
      </x:c>
    </x:row>
    <x:row r="1272" s="43" customFormat="1" ht="15" customHeight="1">
      <x:c r="A1272" s="69" t="n">
        <x:v>45467</x:v>
      </x:c>
      <x:c r="B1272" s="70" t="n">
        <x:v>10.5</x:v>
      </x:c>
    </x:row>
    <x:row r="1273" s="43" customFormat="1" ht="15" customHeight="1">
      <x:c r="A1273" s="71" t="n">
        <x:v>45468</x:v>
      </x:c>
      <x:c r="B1273" s="72" t="n">
        <x:v>10.5</x:v>
      </x:c>
    </x:row>
    <x:row r="1274" s="43" customFormat="1" ht="15" customHeight="1">
      <x:c r="A1274" s="69" t="n">
        <x:v>45469</x:v>
      </x:c>
      <x:c r="B1274" s="70" t="n">
        <x:v>10.5</x:v>
      </x:c>
    </x:row>
    <x:row r="1275" s="43" customFormat="1" ht="15" customHeight="1">
      <x:c r="A1275" s="71" t="n">
        <x:v>45470</x:v>
      </x:c>
      <x:c r="B1275" s="72" t="n">
        <x:v>10.5</x:v>
      </x:c>
    </x:row>
    <x:row r="1276" s="43" customFormat="1" ht="15" customHeight="1">
      <x:c r="A1276" s="69" t="n">
        <x:v>45471</x:v>
      </x:c>
      <x:c r="B1276" s="70" t="n">
        <x:v>10.5</x:v>
      </x:c>
    </x:row>
    <x:row r="1277" s="43" customFormat="1" ht="15" customHeight="1">
      <x:c r="A1277" s="71" t="n">
        <x:v>45472</x:v>
      </x:c>
      <x:c r="B1277" s="72" t="n">
        <x:v>10.5</x:v>
      </x:c>
    </x:row>
    <x:row r="1278" s="43" customFormat="1" ht="15" customHeight="1">
      <x:c r="A1278" s="69" t="n">
        <x:v>45473</x:v>
      </x:c>
      <x:c r="B1278" s="70" t="n">
        <x:v>10.5</x:v>
      </x:c>
    </x:row>
    <x:row r="1279" s="43" customFormat="1" ht="15" customHeight="1">
      <x:c r="A1279" s="71" t="n">
        <x:v>45474</x:v>
      </x:c>
      <x:c r="B1279" s="72" t="n">
        <x:v>10.5</x:v>
      </x:c>
    </x:row>
    <x:row r="1280" s="43" customFormat="1" ht="15" customHeight="1">
      <x:c r="A1280" s="69" t="n">
        <x:v>45475</x:v>
      </x:c>
      <x:c r="B1280" s="70" t="n">
        <x:v>10.5</x:v>
      </x:c>
    </x:row>
    <x:row r="1281" s="43" customFormat="1" ht="15" customHeight="1">
      <x:c r="A1281" s="71" t="n">
        <x:v>45476</x:v>
      </x:c>
      <x:c r="B1281" s="72" t="n">
        <x:v>10.5</x:v>
      </x:c>
    </x:row>
    <x:row r="1282" s="43" customFormat="1" ht="15" customHeight="1">
      <x:c r="A1282" s="69" t="n">
        <x:v>45477</x:v>
      </x:c>
      <x:c r="B1282" s="70" t="n">
        <x:v>10.5</x:v>
      </x:c>
    </x:row>
    <x:row r="1283" s="43" customFormat="1" ht="15" customHeight="1">
      <x:c r="A1283" s="71" t="n">
        <x:v>45478</x:v>
      </x:c>
      <x:c r="B1283" s="72" t="n">
        <x:v>10.5</x:v>
      </x:c>
    </x:row>
    <x:row r="1284" s="43" customFormat="1" ht="15" customHeight="1">
      <x:c r="A1284" s="69" t="n">
        <x:v>45479</x:v>
      </x:c>
      <x:c r="B1284" s="70" t="n">
        <x:v>10.5</x:v>
      </x:c>
    </x:row>
    <x:row r="1285" s="43" customFormat="1" ht="15" customHeight="1">
      <x:c r="A1285" s="71" t="n">
        <x:v>45480</x:v>
      </x:c>
      <x:c r="B1285" s="72" t="n">
        <x:v>10.5</x:v>
      </x:c>
    </x:row>
    <x:row r="1286" s="43" customFormat="1" ht="15" customHeight="1">
      <x:c r="A1286" s="69" t="n">
        <x:v>45481</x:v>
      </x:c>
      <x:c r="B1286" s="70" t="n">
        <x:v>10.5</x:v>
      </x:c>
    </x:row>
    <x:row r="1287" s="43" customFormat="1" ht="15" customHeight="1">
      <x:c r="A1287" s="71" t="n">
        <x:v>45482</x:v>
      </x:c>
      <x:c r="B1287" s="72" t="n">
        <x:v>10.5</x:v>
      </x:c>
    </x:row>
    <x:row r="1288" s="43" customFormat="1" ht="15" customHeight="1">
      <x:c r="A1288" s="69" t="n">
        <x:v>45483</x:v>
      </x:c>
      <x:c r="B1288" s="70" t="n">
        <x:v>10.5</x:v>
      </x:c>
    </x:row>
    <x:row r="1289" s="43" customFormat="1" ht="15" customHeight="1">
      <x:c r="A1289" s="71" t="n">
        <x:v>45484</x:v>
      </x:c>
      <x:c r="B1289" s="72" t="n">
        <x:v>10.5</x:v>
      </x:c>
    </x:row>
    <x:row r="1290" s="43" customFormat="1" ht="15" customHeight="1">
      <x:c r="A1290" s="69" t="n">
        <x:v>45485</x:v>
      </x:c>
      <x:c r="B1290" s="70" t="n">
        <x:v>10.5</x:v>
      </x:c>
    </x:row>
    <x:row r="1291" s="43" customFormat="1" ht="15" customHeight="1">
      <x:c r="A1291" s="71" t="n">
        <x:v>45486</x:v>
      </x:c>
      <x:c r="B1291" s="72" t="n">
        <x:v>10.5</x:v>
      </x:c>
    </x:row>
    <x:row r="1292" s="43" customFormat="1" ht="15" customHeight="1">
      <x:c r="A1292" s="69" t="n">
        <x:v>45487</x:v>
      </x:c>
      <x:c r="B1292" s="70" t="n">
        <x:v>10.5</x:v>
      </x:c>
    </x:row>
    <x:row r="1293" s="43" customFormat="1" ht="15" customHeight="1">
      <x:c r="A1293" s="71" t="n">
        <x:v>45488</x:v>
      </x:c>
      <x:c r="B1293" s="72" t="n">
        <x:v>10.5</x:v>
      </x:c>
    </x:row>
    <x:row r="1294" s="43" customFormat="1" ht="15" customHeight="1">
      <x:c r="A1294" s="69" t="n">
        <x:v>45489</x:v>
      </x:c>
      <x:c r="B1294" s="70" t="n">
        <x:v>10.5</x:v>
      </x:c>
    </x:row>
    <x:row r="1295" s="43" customFormat="1" ht="15" customHeight="1">
      <x:c r="A1295" s="71" t="n">
        <x:v>45490</x:v>
      </x:c>
      <x:c r="B1295" s="72" t="n">
        <x:v>10.5</x:v>
      </x:c>
    </x:row>
    <x:row r="1296" s="43" customFormat="1" ht="15" customHeight="1">
      <x:c r="A1296" s="69" t="n">
        <x:v>45491</x:v>
      </x:c>
      <x:c r="B1296" s="70" t="n">
        <x:v>10.5</x:v>
      </x:c>
    </x:row>
    <x:row r="1297" s="43" customFormat="1" ht="15" customHeight="1">
      <x:c r="A1297" s="71" t="n">
        <x:v>45492</x:v>
      </x:c>
      <x:c r="B1297" s="72" t="n">
        <x:v>10.5</x:v>
      </x:c>
    </x:row>
    <x:row r="1298" s="43" customFormat="1" ht="15" customHeight="1">
      <x:c r="A1298" s="69" t="n">
        <x:v>45493</x:v>
      </x:c>
      <x:c r="B1298" s="70" t="n">
        <x:v>10.5</x:v>
      </x:c>
    </x:row>
    <x:row r="1299" s="43" customFormat="1" ht="15" customHeight="1">
      <x:c r="A1299" s="71" t="n">
        <x:v>45494</x:v>
      </x:c>
      <x:c r="B1299" s="72" t="n">
        <x:v>10.5</x:v>
      </x:c>
    </x:row>
    <x:row r="1300" s="43" customFormat="1" ht="15" customHeight="1">
      <x:c r="A1300" s="69" t="n">
        <x:v>45495</x:v>
      </x:c>
      <x:c r="B1300" s="70" t="n">
        <x:v>10.5</x:v>
      </x:c>
    </x:row>
    <x:row r="1301" s="43" customFormat="1" ht="15" customHeight="1">
      <x:c r="A1301" s="71" t="n">
        <x:v>45496</x:v>
      </x:c>
      <x:c r="B1301" s="72" t="n">
        <x:v>10.5</x:v>
      </x:c>
    </x:row>
    <x:row r="1302" s="43" customFormat="1" ht="15" customHeight="1">
      <x:c r="A1302" s="69" t="n">
        <x:v>45497</x:v>
      </x:c>
      <x:c r="B1302" s="70" t="n">
        <x:v>10.5</x:v>
      </x:c>
    </x:row>
    <x:row r="1303" s="43" customFormat="1" ht="15" customHeight="1">
      <x:c r="A1303" s="71" t="n">
        <x:v>45498</x:v>
      </x:c>
      <x:c r="B1303" s="72" t="n">
        <x:v>10.5</x:v>
      </x:c>
    </x:row>
    <x:row r="1304" s="43" customFormat="1" ht="15" customHeight="1">
      <x:c r="A1304" s="69" t="n">
        <x:v>45499</x:v>
      </x:c>
      <x:c r="B1304" s="70" t="n">
        <x:v>10.5</x:v>
      </x:c>
    </x:row>
    <x:row r="1305" s="43" customFormat="1" ht="15" customHeight="1">
      <x:c r="A1305" s="71" t="n">
        <x:v>45500</x:v>
      </x:c>
      <x:c r="B1305" s="72" t="n">
        <x:v>10.5</x:v>
      </x:c>
    </x:row>
    <x:row r="1306" s="43" customFormat="1" ht="15" customHeight="1">
      <x:c r="A1306" s="69" t="n">
        <x:v>45501</x:v>
      </x:c>
      <x:c r="B1306" s="70" t="n">
        <x:v>10.5</x:v>
      </x:c>
    </x:row>
    <x:row r="1307" s="43" customFormat="1" ht="15" customHeight="1">
      <x:c r="A1307" s="71" t="n">
        <x:v>45502</x:v>
      </x:c>
      <x:c r="B1307" s="72" t="n">
        <x:v>10.5</x:v>
      </x:c>
    </x:row>
    <x:row r="1308" s="43" customFormat="1" ht="15" customHeight="1">
      <x:c r="A1308" s="69" t="n">
        <x:v>45503</x:v>
      </x:c>
      <x:c r="B1308" s="70" t="n">
        <x:v>10.5</x:v>
      </x:c>
    </x:row>
    <x:row r="1309" s="43" customFormat="1" ht="15" customHeight="1">
      <x:c r="A1309" s="71" t="n">
        <x:v>45504</x:v>
      </x:c>
      <x:c r="B1309" s="72" t="n">
        <x:v>10.5</x:v>
      </x:c>
    </x:row>
    <x:row r="1310" s="43" customFormat="1" ht="15" customHeight="1">
      <x:c r="A1310" s="69" t="n">
        <x:v>45505</x:v>
      </x:c>
      <x:c r="B1310" s="70" t="n">
        <x:v>10.5</x:v>
      </x:c>
    </x:row>
    <x:row r="1311" s="43" customFormat="1" ht="15" customHeight="1">
      <x:c r="A1311" s="71" t="n">
        <x:v>45506</x:v>
      </x:c>
      <x:c r="B1311" s="72" t="n">
        <x:v>10.5</x:v>
      </x:c>
    </x:row>
    <x:row r="1312" s="43" customFormat="1" ht="15" customHeight="1">
      <x:c r="A1312" s="69" t="n">
        <x:v>45507</x:v>
      </x:c>
      <x:c r="B1312" s="70" t="n">
        <x:v>10.5</x:v>
      </x:c>
    </x:row>
    <x:row r="1313" s="43" customFormat="1" ht="15" customHeight="1">
      <x:c r="A1313" s="71" t="n">
        <x:v>45508</x:v>
      </x:c>
      <x:c r="B1313" s="72" t="n">
        <x:v>10.5</x:v>
      </x:c>
    </x:row>
    <x:row r="1314" s="43" customFormat="1" ht="15" customHeight="1">
      <x:c r="A1314" s="69" t="n">
        <x:v>45509</x:v>
      </x:c>
      <x:c r="B1314" s="70" t="n">
        <x:v>10.5</x:v>
      </x:c>
    </x:row>
    <x:row r="1315" s="43" customFormat="1" ht="15" customHeight="1">
      <x:c r="A1315" s="71" t="n">
        <x:v>45510</x:v>
      </x:c>
      <x:c r="B1315" s="72" t="n">
        <x:v>10.5</x:v>
      </x:c>
    </x:row>
    <x:row r="1316" s="43" customFormat="1" ht="15" customHeight="1">
      <x:c r="A1316" s="69" t="n">
        <x:v>45511</x:v>
      </x:c>
      <x:c r="B1316" s="70" t="n">
        <x:v>10.5</x:v>
      </x:c>
    </x:row>
    <x:row r="1317" s="43" customFormat="1" ht="15" customHeight="1">
      <x:c r="A1317" s="71" t="n">
        <x:v>45512</x:v>
      </x:c>
      <x:c r="B1317" s="72" t="n">
        <x:v>10.5</x:v>
      </x:c>
    </x:row>
    <x:row r="1318" s="43" customFormat="1" ht="15" customHeight="1">
      <x:c r="A1318" s="69" t="n">
        <x:v>45513</x:v>
      </x:c>
      <x:c r="B1318" s="70" t="n">
        <x:v>10.5</x:v>
      </x:c>
    </x:row>
    <x:row r="1319" s="43" customFormat="1" ht="15" customHeight="1">
      <x:c r="A1319" s="71" t="n">
        <x:v>45514</x:v>
      </x:c>
      <x:c r="B1319" s="72" t="n">
        <x:v>10.5</x:v>
      </x:c>
    </x:row>
    <x:row r="1320" s="43" customFormat="1" ht="15" customHeight="1">
      <x:c r="A1320" s="69" t="n">
        <x:v>45515</x:v>
      </x:c>
      <x:c r="B1320" s="70" t="n">
        <x:v>10.5</x:v>
      </x:c>
    </x:row>
    <x:row r="1321" s="43" customFormat="1" ht="15" customHeight="1">
      <x:c r="A1321" s="71" t="n">
        <x:v>45516</x:v>
      </x:c>
      <x:c r="B1321" s="72" t="n">
        <x:v>10.5</x:v>
      </x:c>
    </x:row>
    <x:row r="1322" s="43" customFormat="1" ht="15" customHeight="1">
      <x:c r="A1322" s="69" t="n">
        <x:v>45517</x:v>
      </x:c>
      <x:c r="B1322" s="70" t="n">
        <x:v>10.5</x:v>
      </x:c>
    </x:row>
    <x:row r="1323" s="43" customFormat="1" ht="15" customHeight="1">
      <x:c r="A1323" s="71" t="n">
        <x:v>45518</x:v>
      </x:c>
      <x:c r="B1323" s="72" t="n">
        <x:v>10.5</x:v>
      </x:c>
    </x:row>
    <x:row r="1324" s="43" customFormat="1" ht="15" customHeight="1">
      <x:c r="A1324" s="69" t="n">
        <x:v>45519</x:v>
      </x:c>
      <x:c r="B1324" s="70" t="n">
        <x:v>10.5</x:v>
      </x:c>
    </x:row>
    <x:row r="1325" s="43" customFormat="1" ht="15" customHeight="1">
      <x:c r="A1325" s="71" t="n">
        <x:v>45520</x:v>
      </x:c>
      <x:c r="B1325" s="72" t="n">
        <x:v>10.5</x:v>
      </x:c>
    </x:row>
    <x:row r="1326" s="43" customFormat="1" ht="15" customHeight="1">
      <x:c r="A1326" s="69" t="n">
        <x:v>45521</x:v>
      </x:c>
      <x:c r="B1326" s="70" t="n">
        <x:v>10.5</x:v>
      </x:c>
    </x:row>
    <x:row r="1327" s="43" customFormat="1" ht="15" customHeight="1">
      <x:c r="A1327" s="71" t="n">
        <x:v>45522</x:v>
      </x:c>
      <x:c r="B1327" s="72" t="n">
        <x:v>10.5</x:v>
      </x:c>
    </x:row>
    <x:row r="1328" s="43" customFormat="1" ht="15" customHeight="1">
      <x:c r="A1328" s="69" t="n">
        <x:v>45523</x:v>
      </x:c>
      <x:c r="B1328" s="70" t="n">
        <x:v>10.5</x:v>
      </x:c>
    </x:row>
    <x:row r="1329" s="43" customFormat="1" ht="15" customHeight="1">
      <x:c r="A1329" s="71" t="n">
        <x:v>45524</x:v>
      </x:c>
      <x:c r="B1329" s="72" t="n">
        <x:v>10.5</x:v>
      </x:c>
    </x:row>
    <x:row r="1330" s="43" customFormat="1" ht="15" customHeight="1">
      <x:c r="A1330" s="69" t="n">
        <x:v>45525</x:v>
      </x:c>
      <x:c r="B1330" s="70" t="n">
        <x:v>10.5</x:v>
      </x:c>
    </x:row>
    <x:row r="1331" s="43" customFormat="1" ht="15" customHeight="1">
      <x:c r="A1331" s="71" t="n">
        <x:v>45526</x:v>
      </x:c>
      <x:c r="B1331" s="72" t="n">
        <x:v>10.5</x:v>
      </x:c>
    </x:row>
    <x:row r="1332" s="43" customFormat="1" ht="15" customHeight="1">
      <x:c r="A1332" s="69" t="n">
        <x:v>45527</x:v>
      </x:c>
      <x:c r="B1332" s="70" t="n">
        <x:v>10.5</x:v>
      </x:c>
    </x:row>
    <x:row r="1333" s="43" customFormat="1" ht="15" customHeight="1">
      <x:c r="A1333" s="71" t="n">
        <x:v>45528</x:v>
      </x:c>
      <x:c r="B1333" s="72" t="n">
        <x:v>10.5</x:v>
      </x:c>
    </x:row>
    <x:row r="1334" s="43" customFormat="1" ht="15" customHeight="1">
      <x:c r="A1334" s="69" t="n">
        <x:v>45529</x:v>
      </x:c>
      <x:c r="B1334" s="70" t="n">
        <x:v>10.5</x:v>
      </x:c>
    </x:row>
    <x:row r="1335" s="43" customFormat="1" ht="15" customHeight="1">
      <x:c r="A1335" s="71" t="n">
        <x:v>45530</x:v>
      </x:c>
      <x:c r="B1335" s="72" t="n">
        <x:v>10.5</x:v>
      </x:c>
    </x:row>
    <x:row r="1336" s="43" customFormat="1" ht="15" customHeight="1">
      <x:c r="A1336" s="69" t="n">
        <x:v>45531</x:v>
      </x:c>
      <x:c r="B1336" s="70" t="n">
        <x:v>10.5</x:v>
      </x:c>
    </x:row>
    <x:row r="1337" s="43" customFormat="1" ht="15" customHeight="1">
      <x:c r="A1337" s="71" t="n">
        <x:v>45532</x:v>
      </x:c>
      <x:c r="B1337" s="72" t="n">
        <x:v>10.5</x:v>
      </x:c>
    </x:row>
    <x:row r="1338" s="43" customFormat="1" ht="15" customHeight="1">
      <x:c r="A1338" s="69" t="n">
        <x:v>45533</x:v>
      </x:c>
      <x:c r="B1338" s="70" t="n">
        <x:v>10.5</x:v>
      </x:c>
    </x:row>
    <x:row r="1339" s="43" customFormat="1" ht="15" customHeight="1">
      <x:c r="A1339" s="71" t="n">
        <x:v>45534</x:v>
      </x:c>
      <x:c r="B1339" s="72" t="n">
        <x:v>10.5</x:v>
      </x:c>
    </x:row>
    <x:row r="1340" s="43" customFormat="1" ht="15" customHeight="1">
      <x:c r="A1340" s="69" t="n">
        <x:v>45535</x:v>
      </x:c>
      <x:c r="B1340" s="70" t="n">
        <x:v>10.5</x:v>
      </x:c>
    </x:row>
    <x:row r="1341" s="43" customFormat="1" ht="15" customHeight="1">
      <x:c r="A1341" s="71" t="n">
        <x:v>45536</x:v>
      </x:c>
      <x:c r="B1341" s="72" t="n">
        <x:v>10.5</x:v>
      </x:c>
    </x:row>
    <x:row r="1342" s="43" customFormat="1" ht="15" customHeight="1">
      <x:c r="A1342" s="69" t="n">
        <x:v>45537</x:v>
      </x:c>
      <x:c r="B1342" s="70" t="n">
        <x:v>10.5</x:v>
      </x:c>
    </x:row>
    <x:row r="1343" s="43" customFormat="1" ht="15" customHeight="1">
      <x:c r="A1343" s="71" t="n">
        <x:v>45538</x:v>
      </x:c>
      <x:c r="B1343" s="72" t="n">
        <x:v>10.5</x:v>
      </x:c>
    </x:row>
    <x:row r="1344" s="43" customFormat="1" ht="15" customHeight="1">
      <x:c r="A1344" s="69" t="n">
        <x:v>45539</x:v>
      </x:c>
      <x:c r="B1344" s="70" t="n">
        <x:v>10.5</x:v>
      </x:c>
    </x:row>
    <x:row r="1345" s="43" customFormat="1" ht="15" customHeight="1">
      <x:c r="A1345" s="71" t="n">
        <x:v>45540</x:v>
      </x:c>
      <x:c r="B1345" s="72" t="n">
        <x:v>10.5</x:v>
      </x:c>
    </x:row>
    <x:row r="1346" s="43" customFormat="1" ht="15" customHeight="1">
      <x:c r="A1346" s="69" t="n">
        <x:v>45541</x:v>
      </x:c>
      <x:c r="B1346" s="70" t="n">
        <x:v>10.5</x:v>
      </x:c>
    </x:row>
    <x:row r="1347" s="43" customFormat="1" ht="15" customHeight="1">
      <x:c r="A1347" s="71" t="n">
        <x:v>45542</x:v>
      </x:c>
      <x:c r="B1347" s="72" t="n">
        <x:v>10.5</x:v>
      </x:c>
    </x:row>
    <x:row r="1348" s="43" customFormat="1" ht="15" customHeight="1">
      <x:c r="A1348" s="69" t="n">
        <x:v>45543</x:v>
      </x:c>
      <x:c r="B1348" s="70" t="n">
        <x:v>10.5</x:v>
      </x:c>
    </x:row>
    <x:row r="1349" s="43" customFormat="1" ht="15" customHeight="1">
      <x:c r="A1349" s="71" t="n">
        <x:v>45544</x:v>
      </x:c>
      <x:c r="B1349" s="72" t="n">
        <x:v>10.5</x:v>
      </x:c>
    </x:row>
    <x:row r="1350" s="43" customFormat="1" ht="15" customHeight="1">
      <x:c r="A1350" s="69" t="n">
        <x:v>45545</x:v>
      </x:c>
      <x:c r="B1350" s="70" t="n">
        <x:v>10.5</x:v>
      </x:c>
    </x:row>
    <x:row r="1351" s="43" customFormat="1" ht="15" customHeight="1">
      <x:c r="A1351" s="71" t="n">
        <x:v>45546</x:v>
      </x:c>
      <x:c r="B1351" s="72" t="n">
        <x:v>10.5</x:v>
      </x:c>
    </x:row>
    <x:row r="1352" s="43" customFormat="1" ht="15" customHeight="1">
      <x:c r="A1352" s="69" t="n">
        <x:v>45547</x:v>
      </x:c>
      <x:c r="B1352" s="70" t="n">
        <x:v>10.5</x:v>
      </x:c>
    </x:row>
    <x:row r="1353" s="43" customFormat="1" ht="15" customHeight="1">
      <x:c r="A1353" s="71" t="n">
        <x:v>45548</x:v>
      </x:c>
      <x:c r="B1353" s="72" t="n">
        <x:v>10.5</x:v>
      </x:c>
    </x:row>
    <x:row r="1354" s="43" customFormat="1" ht="15" customHeight="1">
      <x:c r="A1354" s="69" t="n">
        <x:v>45549</x:v>
      </x:c>
      <x:c r="B1354" s="70" t="n">
        <x:v>10.5</x:v>
      </x:c>
    </x:row>
    <x:row r="1355" s="43" customFormat="1" ht="15" customHeight="1">
      <x:c r="A1355" s="71" t="n">
        <x:v>45550</x:v>
      </x:c>
      <x:c r="B1355" s="72" t="n">
        <x:v>10.5</x:v>
      </x:c>
    </x:row>
    <x:row r="1356" s="43" customFormat="1" ht="15" customHeight="1">
      <x:c r="A1356" s="69" t="n">
        <x:v>45551</x:v>
      </x:c>
      <x:c r="B1356" s="70" t="n">
        <x:v>10.5</x:v>
      </x:c>
    </x:row>
    <x:row r="1357" s="43" customFormat="1" ht="15" customHeight="1">
      <x:c r="A1357" s="71" t="n">
        <x:v>45552</x:v>
      </x:c>
      <x:c r="B1357" s="72" t="n">
        <x:v>10.5</x:v>
      </x:c>
    </x:row>
    <x:row r="1358" s="43" customFormat="1" ht="15" customHeight="1">
      <x:c r="A1358" s="69" t="n">
        <x:v>45553</x:v>
      </x:c>
      <x:c r="B1358" s="70" t="n">
        <x:v>10.5</x:v>
      </x:c>
    </x:row>
    <x:row r="1359" s="43" customFormat="1" ht="15" customHeight="1">
      <x:c r="A1359" s="71" t="n">
        <x:v>45554</x:v>
      </x:c>
      <x:c r="B1359" s="72" t="n">
        <x:v>10.75</x:v>
      </x:c>
    </x:row>
    <x:row r="1360" s="43" customFormat="1" ht="15" customHeight="1">
      <x:c r="A1360" s="69" t="n">
        <x:v>45555</x:v>
      </x:c>
      <x:c r="B1360" s="70" t="n">
        <x:v>10.75</x:v>
      </x:c>
    </x:row>
    <x:row r="1361" s="43" customFormat="1" ht="15" customHeight="1">
      <x:c r="A1361" s="71" t="n">
        <x:v>45556</x:v>
      </x:c>
      <x:c r="B1361" s="72" t="n">
        <x:v>10.75</x:v>
      </x:c>
    </x:row>
    <x:row r="1362" s="43" customFormat="1" ht="15" customHeight="1">
      <x:c r="A1362" s="69" t="n">
        <x:v>45557</x:v>
      </x:c>
      <x:c r="B1362" s="70" t="n">
        <x:v>10.75</x:v>
      </x:c>
    </x:row>
    <x:row r="1363" s="43" customFormat="1" ht="15" customHeight="1">
      <x:c r="A1363" s="71" t="n">
        <x:v>45558</x:v>
      </x:c>
      <x:c r="B1363" s="72" t="n">
        <x:v>10.75</x:v>
      </x:c>
    </x:row>
    <x:row r="1364" s="43" customFormat="1" ht="15" customHeight="1">
      <x:c r="A1364" s="69" t="n">
        <x:v>45559</x:v>
      </x:c>
      <x:c r="B1364" s="70" t="n">
        <x:v>10.75</x:v>
      </x:c>
    </x:row>
    <x:row r="1365" s="43" customFormat="1" ht="15" customHeight="1">
      <x:c r="A1365" s="71" t="n">
        <x:v>45560</x:v>
      </x:c>
      <x:c r="B1365" s="72" t="n">
        <x:v>10.75</x:v>
      </x:c>
    </x:row>
    <x:row r="1366" s="43" customFormat="1" ht="15" customHeight="1">
      <x:c r="A1366" s="69" t="n">
        <x:v>45561</x:v>
      </x:c>
      <x:c r="B1366" s="70" t="n">
        <x:v>10.75</x:v>
      </x:c>
    </x:row>
    <x:row r="1367" s="43" customFormat="1" ht="15" customHeight="1">
      <x:c r="A1367" s="71" t="n">
        <x:v>45562</x:v>
      </x:c>
      <x:c r="B1367" s="72" t="n">
        <x:v>10.75</x:v>
      </x:c>
    </x:row>
    <x:row r="1368" s="43" customFormat="1" ht="15" customHeight="1">
      <x:c r="A1368" s="69" t="n">
        <x:v>45563</x:v>
      </x:c>
      <x:c r="B1368" s="70" t="n">
        <x:v>10.75</x:v>
      </x:c>
    </x:row>
    <x:row r="1369" s="43" customFormat="1" ht="15" customHeight="1">
      <x:c r="A1369" s="71" t="n">
        <x:v>45564</x:v>
      </x:c>
      <x:c r="B1369" s="72" t="n">
        <x:v>10.75</x:v>
      </x:c>
    </x:row>
    <x:row r="1370" s="43" customFormat="1" ht="15" customHeight="1">
      <x:c r="A1370" s="69" t="n">
        <x:v>45565</x:v>
      </x:c>
      <x:c r="B1370" s="70" t="n">
        <x:v>10.75</x:v>
      </x:c>
    </x:row>
    <x:row r="1371" s="43" customFormat="1" ht="15" customHeight="1">
      <x:c r="A1371" s="71" t="n">
        <x:v>45566</x:v>
      </x:c>
      <x:c r="B1371" s="72" t="n">
        <x:v>10.75</x:v>
      </x:c>
    </x:row>
    <x:row r="1372" s="43" customFormat="1" ht="15" customHeight="1">
      <x:c r="A1372" s="69" t="n">
        <x:v>45567</x:v>
      </x:c>
      <x:c r="B1372" s="70" t="n">
        <x:v>10.75</x:v>
      </x:c>
    </x:row>
    <x:row r="1373" s="43" customFormat="1" ht="15" customHeight="1">
      <x:c r="A1373" s="71" t="n">
        <x:v>45568</x:v>
      </x:c>
      <x:c r="B1373" s="72" t="n">
        <x:v>10.75</x:v>
      </x:c>
    </x:row>
    <x:row r="1374" s="43" customFormat="1" ht="15" customHeight="1">
      <x:c r="A1374" s="69" t="n">
        <x:v>45569</x:v>
      </x:c>
      <x:c r="B1374" s="70" t="n">
        <x:v>10.75</x:v>
      </x:c>
    </x:row>
    <x:row r="1375" s="43" customFormat="1" ht="15" customHeight="1">
      <x:c r="A1375" s="71" t="n">
        <x:v>45570</x:v>
      </x:c>
      <x:c r="B1375" s="72" t="n">
        <x:v>10.75</x:v>
      </x:c>
    </x:row>
    <x:row r="1376" s="43" customFormat="1" ht="15" customHeight="1">
      <x:c r="A1376" s="69" t="n">
        <x:v>45571</x:v>
      </x:c>
      <x:c r="B1376" s="70" t="n">
        <x:v>10.75</x:v>
      </x:c>
    </x:row>
    <x:row r="1377" s="43" customFormat="1" ht="15" customHeight="1">
      <x:c r="A1377" s="71" t="n">
        <x:v>45572</x:v>
      </x:c>
      <x:c r="B1377" s="72" t="n">
        <x:v>10.75</x:v>
      </x:c>
    </x:row>
    <x:row r="1378" s="43" customFormat="1" ht="15" customHeight="1">
      <x:c r="A1378" s="69" t="n">
        <x:v>45573</x:v>
      </x:c>
      <x:c r="B1378" s="70" t="n">
        <x:v>10.75</x:v>
      </x:c>
    </x:row>
    <x:row r="1379" s="43" customFormat="1" ht="15" customHeight="1">
      <x:c r="A1379" s="71" t="n">
        <x:v>45574</x:v>
      </x:c>
      <x:c r="B1379" s="72" t="n">
        <x:v>10.75</x:v>
      </x:c>
    </x:row>
    <x:row r="1380" s="43" customFormat="1" ht="15" customHeight="1">
      <x:c r="A1380" s="69" t="n">
        <x:v>45575</x:v>
      </x:c>
      <x:c r="B1380" s="70" t="n">
        <x:v>10.75</x:v>
      </x:c>
    </x:row>
    <x:row r="1381" s="43" customFormat="1" ht="15" customHeight="1">
      <x:c r="A1381" s="71" t="n">
        <x:v>45576</x:v>
      </x:c>
      <x:c r="B1381" s="72" t="n">
        <x:v>10.75</x:v>
      </x:c>
    </x:row>
    <x:row r="1382" s="43" customFormat="1" ht="15" customHeight="1">
      <x:c r="A1382" s="69" t="n">
        <x:v>45577</x:v>
      </x:c>
      <x:c r="B1382" s="70" t="n">
        <x:v>10.75</x:v>
      </x:c>
    </x:row>
    <x:row r="1383" s="43" customFormat="1" ht="15" customHeight="1">
      <x:c r="A1383" s="71" t="n">
        <x:v>45578</x:v>
      </x:c>
      <x:c r="B1383" s="72" t="n">
        <x:v>10.75</x:v>
      </x:c>
    </x:row>
    <x:row r="1384" s="43" customFormat="1" ht="15" customHeight="1">
      <x:c r="A1384" s="69" t="n">
        <x:v>45579</x:v>
      </x:c>
      <x:c r="B1384" s="70" t="n">
        <x:v>10.75</x:v>
      </x:c>
    </x:row>
    <x:row r="1385" s="43" customFormat="1" ht="15" customHeight="1">
      <x:c r="A1385" s="71" t="n">
        <x:v>45580</x:v>
      </x:c>
      <x:c r="B1385" s="72" t="n">
        <x:v>10.75</x:v>
      </x:c>
    </x:row>
    <x:row r="1386" s="43" customFormat="1" ht="15" customHeight="1">
      <x:c r="A1386" s="69" t="n">
        <x:v>45581</x:v>
      </x:c>
      <x:c r="B1386" s="70" t="n">
        <x:v>10.75</x:v>
      </x:c>
    </x:row>
    <x:row r="1387" s="43" customFormat="1" ht="15" customHeight="1">
      <x:c r="A1387" s="71" t="n">
        <x:v>45582</x:v>
      </x:c>
      <x:c r="B1387" s="72" t="n">
        <x:v>10.75</x:v>
      </x:c>
    </x:row>
    <x:row r="1388" s="43" customFormat="1" ht="15" customHeight="1">
      <x:c r="A1388" s="69" t="n">
        <x:v>45583</x:v>
      </x:c>
      <x:c r="B1388" s="70" t="n">
        <x:v>10.75</x:v>
      </x:c>
    </x:row>
    <x:row r="1389" s="43" customFormat="1" ht="15" customHeight="1">
      <x:c r="A1389" s="71" t="n">
        <x:v>45584</x:v>
      </x:c>
      <x:c r="B1389" s="72" t="n">
        <x:v>10.75</x:v>
      </x:c>
    </x:row>
    <x:row r="1390" s="43" customFormat="1" ht="15" customHeight="1">
      <x:c r="A1390" s="69" t="n">
        <x:v>45585</x:v>
      </x:c>
      <x:c r="B1390" s="70" t="n">
        <x:v>10.75</x:v>
      </x:c>
    </x:row>
    <x:row r="1391" s="43" customFormat="1" ht="15" customHeight="1">
      <x:c r="A1391" s="71" t="n">
        <x:v>45586</x:v>
      </x:c>
      <x:c r="B1391" s="72" t="n">
        <x:v>10.75</x:v>
      </x:c>
    </x:row>
    <x:row r="1392" s="43" customFormat="1" ht="15" customHeight="1">
      <x:c r="A1392" s="69" t="n">
        <x:v>45587</x:v>
      </x:c>
      <x:c r="B1392" s="70" t="n">
        <x:v>10.75</x:v>
      </x:c>
    </x:row>
    <x:row r="1393" s="43" customFormat="1" ht="15" customHeight="1">
      <x:c r="A1393" s="71" t="n">
        <x:v>45588</x:v>
      </x:c>
      <x:c r="B1393" s="72" t="n">
        <x:v>10.75</x:v>
      </x:c>
    </x:row>
    <x:row r="1394" s="43" customFormat="1" ht="15" customHeight="1">
      <x:c r="A1394" s="69" t="n">
        <x:v>45589</x:v>
      </x:c>
      <x:c r="B1394" s="70" t="n">
        <x:v>10.75</x:v>
      </x:c>
    </x:row>
    <x:row r="1395" s="43" customFormat="1" ht="15" customHeight="1">
      <x:c r="A1395" s="71" t="n">
        <x:v>45590</x:v>
      </x:c>
      <x:c r="B1395" s="72" t="n">
        <x:v>10.75</x:v>
      </x:c>
    </x:row>
    <x:row r="1396" s="43" customFormat="1" ht="15" customHeight="1">
      <x:c r="A1396" s="69" t="n">
        <x:v>45591</x:v>
      </x:c>
      <x:c r="B1396" s="70" t="n">
        <x:v>10.75</x:v>
      </x:c>
    </x:row>
    <x:row r="1397" s="43" customFormat="1" ht="15" customHeight="1">
      <x:c r="A1397" s="71" t="n">
        <x:v>45592</x:v>
      </x:c>
      <x:c r="B1397" s="72" t="n">
        <x:v>10.75</x:v>
      </x:c>
    </x:row>
    <x:row r="1398" s="43" customFormat="1" ht="15" customHeight="1">
      <x:c r="A1398" s="69" t="n">
        <x:v>45593</x:v>
      </x:c>
      <x:c r="B1398" s="70" t="n">
        <x:v>10.75</x:v>
      </x:c>
    </x:row>
    <x:row r="1399" s="43" customFormat="1" ht="15" customHeight="1">
      <x:c r="A1399" s="71" t="n">
        <x:v>45594</x:v>
      </x:c>
      <x:c r="B1399" s="72" t="n">
        <x:v>10.75</x:v>
      </x:c>
    </x:row>
    <x:row r="1400" s="43" customFormat="1" ht="15" customHeight="1">
      <x:c r="A1400" s="69" t="n">
        <x:v>45595</x:v>
      </x:c>
      <x:c r="B1400" s="70" t="n">
        <x:v>10.75</x:v>
      </x:c>
    </x:row>
    <x:row r="1401" s="43" customFormat="1" ht="15" customHeight="1">
      <x:c r="A1401" s="71" t="n">
        <x:v>45596</x:v>
      </x:c>
      <x:c r="B1401" s="72" t="n">
        <x:v>10.75</x:v>
      </x:c>
    </x:row>
    <x:row r="1402" s="43" customFormat="1" ht="15" customHeight="1">
      <x:c r="A1402" s="69" t="n">
        <x:v>45597</x:v>
      </x:c>
      <x:c r="B1402" s="70" t="n">
        <x:v>10.75</x:v>
      </x:c>
    </x:row>
    <x:row r="1403" s="43" customFormat="1" ht="15" customHeight="1">
      <x:c r="A1403" s="71" t="n">
        <x:v>45598</x:v>
      </x:c>
      <x:c r="B1403" s="72" t="n">
        <x:v>10.75</x:v>
      </x:c>
    </x:row>
    <x:row r="1404" s="43" customFormat="1" ht="15" customHeight="1">
      <x:c r="A1404" s="69" t="n">
        <x:v>45599</x:v>
      </x:c>
      <x:c r="B1404" s="70" t="n">
        <x:v>10.75</x:v>
      </x:c>
    </x:row>
    <x:row r="1405" s="43" customFormat="1" ht="15" customHeight="1">
      <x:c r="A1405" s="71" t="n">
        <x:v>45600</x:v>
      </x:c>
      <x:c r="B1405" s="72" t="n">
        <x:v>10.75</x:v>
      </x:c>
    </x:row>
    <x:row r="1406" s="43" customFormat="1" ht="15" customHeight="1">
      <x:c r="A1406" s="69" t="n">
        <x:v>45601</x:v>
      </x:c>
      <x:c r="B1406" s="70" t="n">
        <x:v>10.75</x:v>
      </x:c>
    </x:row>
    <x:row r="1407" s="43" customFormat="1" ht="15" customHeight="1">
      <x:c r="A1407" s="71" t="n">
        <x:v>45602</x:v>
      </x:c>
      <x:c r="B1407" s="72" t="n">
        <x:v>10.75</x:v>
      </x:c>
    </x:row>
    <x:row r="1408" s="43" customFormat="1" ht="15" customHeight="1">
      <x:c r="A1408" s="69" t="n">
        <x:v>45603</x:v>
      </x:c>
      <x:c r="B1408" s="70" t="n">
        <x:v>11.25</x:v>
      </x:c>
    </x:row>
    <x:row r="1409" s="43" customFormat="1" ht="15" customHeight="1">
      <x:c r="A1409" s="71" t="n">
        <x:v>45604</x:v>
      </x:c>
      <x:c r="B1409" s="72" t="n">
        <x:v>11.25</x:v>
      </x:c>
    </x:row>
    <x:row r="1410" s="43" customFormat="1" ht="15" customHeight="1">
      <x:c r="A1410" s="69" t="n">
        <x:v>45605</x:v>
      </x:c>
      <x:c r="B1410" s="70" t="n">
        <x:v>11.25</x:v>
      </x:c>
    </x:row>
    <x:row r="1411" s="43" customFormat="1" ht="15" customHeight="1">
      <x:c r="A1411" s="71" t="n">
        <x:v>45606</x:v>
      </x:c>
      <x:c r="B1411" s="72" t="n">
        <x:v>11.25</x:v>
      </x:c>
    </x:row>
    <x:row r="1412" s="43" customFormat="1" ht="15" customHeight="1">
      <x:c r="A1412" s="69" t="n">
        <x:v>45607</x:v>
      </x:c>
      <x:c r="B1412" s="70" t="n">
        <x:v>11.25</x:v>
      </x:c>
    </x:row>
    <x:row r="1413" s="43" customFormat="1" ht="15" customHeight="1">
      <x:c r="A1413" s="71" t="n">
        <x:v>45608</x:v>
      </x:c>
      <x:c r="B1413" s="72" t="n">
        <x:v>11.25</x:v>
      </x:c>
    </x:row>
    <x:row r="1414" s="43" customFormat="1" ht="15" customHeight="1">
      <x:c r="A1414" s="69" t="n">
        <x:v>45609</x:v>
      </x:c>
      <x:c r="B1414" s="70" t="n">
        <x:v>11.25</x:v>
      </x:c>
    </x:row>
    <x:row r="1415" s="43" customFormat="1" ht="15" customHeight="1">
      <x:c r="A1415" s="71" t="n">
        <x:v>45610</x:v>
      </x:c>
      <x:c r="B1415" s="72" t="n">
        <x:v>11.25</x:v>
      </x:c>
    </x:row>
    <x:row r="1416" s="43" customFormat="1" ht="15" customHeight="1">
      <x:c r="A1416" s="69" t="n">
        <x:v>45611</x:v>
      </x:c>
      <x:c r="B1416" s="70" t="n">
        <x:v>11.25</x:v>
      </x:c>
    </x:row>
    <x:row r="1417" s="43" customFormat="1" ht="15" customHeight="1">
      <x:c r="A1417" s="71" t="n">
        <x:v>45612</x:v>
      </x:c>
      <x:c r="B1417" s="72" t="n">
        <x:v>11.25</x:v>
      </x:c>
    </x:row>
    <x:row r="1418" s="43" customFormat="1" ht="15" customHeight="1">
      <x:c r="A1418" s="69" t="n">
        <x:v>45613</x:v>
      </x:c>
      <x:c r="B1418" s="70" t="n">
        <x:v>11.25</x:v>
      </x:c>
    </x:row>
    <x:row r="1419" s="43" customFormat="1" ht="15" customHeight="1">
      <x:c r="A1419" s="71" t="n">
        <x:v>45614</x:v>
      </x:c>
      <x:c r="B1419" s="72" t="n">
        <x:v>11.25</x:v>
      </x:c>
    </x:row>
    <x:row r="1420" s="43" customFormat="1" ht="15" customHeight="1">
      <x:c r="A1420" s="69" t="n">
        <x:v>45615</x:v>
      </x:c>
      <x:c r="B1420" s="70" t="n">
        <x:v>11.25</x:v>
      </x:c>
    </x:row>
    <x:row r="1421" s="43" customFormat="1" ht="15" customHeight="1">
      <x:c r="A1421" s="71" t="n">
        <x:v>45616</x:v>
      </x:c>
      <x:c r="B1421" s="72" t="n">
        <x:v>11.25</x:v>
      </x:c>
    </x:row>
    <x:row r="1422" s="43" customFormat="1" ht="15" customHeight="1">
      <x:c r="A1422" s="69" t="n">
        <x:v>45617</x:v>
      </x:c>
      <x:c r="B1422" s="70" t="n">
        <x:v>11.25</x:v>
      </x:c>
    </x:row>
    <x:row r="1423" s="43" customFormat="1" ht="15" customHeight="1">
      <x:c r="A1423" s="71" t="n">
        <x:v>45618</x:v>
      </x:c>
      <x:c r="B1423" s="72" t="n">
        <x:v>11.25</x:v>
      </x:c>
    </x:row>
    <x:row r="1424" s="43" customFormat="1" ht="15" customHeight="1">
      <x:c r="A1424" s="69" t="n">
        <x:v>45619</x:v>
      </x:c>
      <x:c r="B1424" s="70" t="n">
        <x:v>11.25</x:v>
      </x:c>
    </x:row>
    <x:row r="1425" s="43" customFormat="1" ht="15" customHeight="1">
      <x:c r="A1425" s="71" t="n">
        <x:v>45620</x:v>
      </x:c>
      <x:c r="B1425" s="72" t="n">
        <x:v>11.25</x:v>
      </x:c>
    </x:row>
    <x:row r="1426" s="43" customFormat="1" ht="15" customHeight="1">
      <x:c r="A1426" s="69" t="n">
        <x:v>45621</x:v>
      </x:c>
      <x:c r="B1426" s="70" t="n">
        <x:v>11.25</x:v>
      </x:c>
    </x:row>
    <x:row r="1427" s="43" customFormat="1" ht="15" customHeight="1">
      <x:c r="A1427" s="71" t="n">
        <x:v>45622</x:v>
      </x:c>
      <x:c r="B1427" s="72" t="n">
        <x:v>11.25</x:v>
      </x:c>
    </x:row>
    <x:row r="1428" s="43" customFormat="1" ht="15" customHeight="1">
      <x:c r="A1428" s="69" t="n">
        <x:v>45623</x:v>
      </x:c>
      <x:c r="B1428" s="70" t="n">
        <x:v>11.25</x:v>
      </x:c>
    </x:row>
    <x:row r="1429" s="43" customFormat="1" ht="15" customHeight="1">
      <x:c r="A1429" s="71" t="n">
        <x:v>45624</x:v>
      </x:c>
      <x:c r="B1429" s="72" t="n">
        <x:v>11.25</x:v>
      </x:c>
    </x:row>
    <x:row r="1430" s="43" customFormat="1" ht="15" customHeight="1">
      <x:c r="A1430" s="69" t="n">
        <x:v>45625</x:v>
      </x:c>
      <x:c r="B1430" s="70" t="n">
        <x:v>11.25</x:v>
      </x:c>
    </x:row>
    <x:row r="1431" s="43" customFormat="1" ht="15" customHeight="1">
      <x:c r="A1431" s="71" t="n">
        <x:v>45626</x:v>
      </x:c>
      <x:c r="B1431" s="72" t="n">
        <x:v>11.25</x:v>
      </x:c>
    </x:row>
    <x:row r="1432" s="43" customFormat="1" ht="15" customHeight="1">
      <x:c r="A1432" s="69" t="n">
        <x:v>45627</x:v>
      </x:c>
      <x:c r="B1432" s="70" t="n">
        <x:v>11.25</x:v>
      </x:c>
    </x:row>
    <x:row r="1433" s="43" customFormat="1" ht="15" customHeight="1">
      <x:c r="A1433" s="71" t="n">
        <x:v>45628</x:v>
      </x:c>
      <x:c r="B1433" s="72" t="n">
        <x:v>11.25</x:v>
      </x:c>
    </x:row>
    <x:row r="1434" s="43" customFormat="1" ht="15" customHeight="1">
      <x:c r="A1434" s="69" t="n">
        <x:v>45629</x:v>
      </x:c>
      <x:c r="B1434" s="70" t="n">
        <x:v>11.25</x:v>
      </x:c>
    </x:row>
    <x:row r="1435" s="43" customFormat="1" ht="15" customHeight="1">
      <x:c r="A1435" s="71" t="n">
        <x:v>45630</x:v>
      </x:c>
      <x:c r="B1435" s="72" t="n">
        <x:v>11.25</x:v>
      </x:c>
    </x:row>
    <x:row r="1436" s="43" customFormat="1" ht="15" customHeight="1">
      <x:c r="A1436" s="69" t="n">
        <x:v>45631</x:v>
      </x:c>
      <x:c r="B1436" s="70" t="n">
        <x:v>11.25</x:v>
      </x:c>
    </x:row>
    <x:row r="1437" s="43" customFormat="1" ht="15" customHeight="1">
      <x:c r="A1437" s="71" t="n">
        <x:v>45632</x:v>
      </x:c>
      <x:c r="B1437" s="72" t="n">
        <x:v>11.25</x:v>
      </x:c>
    </x:row>
    <x:row r="1438" s="43" customFormat="1" ht="15" customHeight="1">
      <x:c r="A1438" s="69" t="n">
        <x:v>45633</x:v>
      </x:c>
      <x:c r="B1438" s="70" t="n">
        <x:v>11.25</x:v>
      </x:c>
    </x:row>
    <x:row r="1439" s="43" customFormat="1" ht="15" customHeight="1">
      <x:c r="A1439" s="71" t="n">
        <x:v>45634</x:v>
      </x:c>
      <x:c r="B1439" s="72" t="n">
        <x:v>11.25</x:v>
      </x:c>
    </x:row>
    <x:row r="1440" s="43" customFormat="1" ht="15" customHeight="1">
      <x:c r="A1440" s="69" t="n">
        <x:v>45635</x:v>
      </x:c>
      <x:c r="B1440" s="70" t="n">
        <x:v>11.25</x:v>
      </x:c>
    </x:row>
    <x:row r="1441" s="43" customFormat="1" ht="15" customHeight="1">
      <x:c r="A1441" s="71" t="n">
        <x:v>45636</x:v>
      </x:c>
      <x:c r="B1441" s="72" t="n">
        <x:v>11.25</x:v>
      </x:c>
    </x:row>
    <x:row r="1442" s="43" customFormat="1" ht="15" customHeight="1">
      <x:c r="A1442" s="69" t="n">
        <x:v>45637</x:v>
      </x:c>
      <x:c r="B1442" s="70" t="n">
        <x:v>11.25</x:v>
      </x:c>
    </x:row>
    <x:row r="1443" s="43" customFormat="1" ht="15" customHeight="1">
      <x:c r="A1443" s="71" t="n">
        <x:v>45638</x:v>
      </x:c>
      <x:c r="B1443" s="72" t="n">
        <x:v>12.25</x:v>
      </x:c>
    </x:row>
    <x:row r="1444" s="43" customFormat="1" ht="15" customHeight="1">
      <x:c r="A1444" s="69" t="n">
        <x:v>45639</x:v>
      </x:c>
      <x:c r="B1444" s="70" t="n">
        <x:v>12.25</x:v>
      </x:c>
    </x:row>
    <x:row r="1445" s="43" customFormat="1" ht="15" customHeight="1">
      <x:c r="A1445" s="71" t="n">
        <x:v>45640</x:v>
      </x:c>
      <x:c r="B1445" s="72" t="n">
        <x:v>12.25</x:v>
      </x:c>
    </x:row>
    <x:row r="1446" s="43" customFormat="1" ht="15" customHeight="1">
      <x:c r="A1446" s="69" t="n">
        <x:v>45641</x:v>
      </x:c>
      <x:c r="B1446" s="70" t="n">
        <x:v>12.25</x:v>
      </x:c>
    </x:row>
    <x:row r="1447" s="43" customFormat="1" ht="15" customHeight="1">
      <x:c r="A1447" s="71" t="n">
        <x:v>45642</x:v>
      </x:c>
      <x:c r="B1447" s="72" t="n">
        <x:v>12.25</x:v>
      </x:c>
    </x:row>
    <x:row r="1448" s="43" customFormat="1" ht="15" customHeight="1">
      <x:c r="A1448" s="69" t="n">
        <x:v>45643</x:v>
      </x:c>
      <x:c r="B1448" s="70" t="n">
        <x:v>12.25</x:v>
      </x:c>
    </x:row>
    <x:row r="1449" s="43" customFormat="1" ht="15" customHeight="1">
      <x:c r="A1449" s="71" t="n">
        <x:v>45644</x:v>
      </x:c>
      <x:c r="B1449" s="72" t="n">
        <x:v>12.25</x:v>
      </x:c>
    </x:row>
    <x:row r="1450" s="43" customFormat="1" ht="15" customHeight="1">
      <x:c r="A1450" s="69" t="n">
        <x:v>45645</x:v>
      </x:c>
      <x:c r="B1450" s="70" t="n">
        <x:v>12.25</x:v>
      </x:c>
    </x:row>
    <x:row r="1451" s="43" customFormat="1" ht="15" customHeight="1">
      <x:c r="A1451" s="71" t="n">
        <x:v>45646</x:v>
      </x:c>
      <x:c r="B1451" s="72" t="n">
        <x:v>12.25</x:v>
      </x:c>
    </x:row>
    <x:row r="1452" s="43" customFormat="1" ht="15" customHeight="1">
      <x:c r="A1452" s="69" t="n">
        <x:v>45647</x:v>
      </x:c>
      <x:c r="B1452" s="70" t="n">
        <x:v>12.25</x:v>
      </x:c>
    </x:row>
    <x:row r="1453" s="43" customFormat="1" ht="15" customHeight="1">
      <x:c r="A1453" s="71" t="n">
        <x:v>45648</x:v>
      </x:c>
      <x:c r="B1453" s="72" t="n">
        <x:v>12.25</x:v>
      </x:c>
    </x:row>
    <x:row r="1454" s="43" customFormat="1" ht="15" customHeight="1">
      <x:c r="A1454" s="69" t="n">
        <x:v>45649</x:v>
      </x:c>
      <x:c r="B1454" s="70" t="n">
        <x:v>12.25</x:v>
      </x:c>
    </x:row>
    <x:row r="1455" s="43" customFormat="1" ht="15" customHeight="1">
      <x:c r="A1455" s="71" t="n">
        <x:v>45650</x:v>
      </x:c>
      <x:c r="B1455" s="72" t="n">
        <x:v>12.25</x:v>
      </x:c>
    </x:row>
    <x:row r="1456" s="43" customFormat="1" ht="15" customHeight="1">
      <x:c r="A1456" s="69" t="n">
        <x:v>45651</x:v>
      </x:c>
      <x:c r="B1456" s="70" t="n">
        <x:v>12.25</x:v>
      </x:c>
    </x:row>
    <x:row r="1457" s="43" customFormat="1" ht="15" customHeight="1">
      <x:c r="A1457" s="71" t="n">
        <x:v>45652</x:v>
      </x:c>
      <x:c r="B1457" s="72" t="n">
        <x:v>12.25</x:v>
      </x:c>
    </x:row>
    <x:row r="1458" s="43" customFormat="1" ht="15" customHeight="1">
      <x:c r="A1458" s="69" t="n">
        <x:v>45653</x:v>
      </x:c>
      <x:c r="B1458" s="70" t="n">
        <x:v>12.25</x:v>
      </x:c>
    </x:row>
    <x:row r="1459" s="43" customFormat="1" ht="15" customHeight="1">
      <x:c r="A1459" s="71" t="n">
        <x:v>45654</x:v>
      </x:c>
      <x:c r="B1459" s="72" t="n">
        <x:v>12.25</x:v>
      </x:c>
    </x:row>
    <x:row r="1460" s="43" customFormat="1" ht="15" customHeight="1">
      <x:c r="A1460" s="69" t="n">
        <x:v>45655</x:v>
      </x:c>
      <x:c r="B1460" s="70" t="n">
        <x:v>12.25</x:v>
      </x:c>
    </x:row>
    <x:row r="1461" s="43" customFormat="1" ht="15" customHeight="1">
      <x:c r="A1461" s="71" t="n">
        <x:v>45656</x:v>
      </x:c>
      <x:c r="B1461" s="72" t="n">
        <x:v>12.25</x:v>
      </x:c>
    </x:row>
    <x:row r="1462" s="43" customFormat="1" ht="15" customHeight="1">
      <x:c r="A1462" s="69" t="n">
        <x:v>45657</x:v>
      </x:c>
      <x:c r="B1462" s="70" t="n">
        <x:v>12.25</x:v>
      </x:c>
    </x:row>
    <x:row r="1463" s="43" customFormat="1" ht="15" customHeight="1">
      <x:c r="A1463" s="71" t="n">
        <x:v>45658</x:v>
      </x:c>
      <x:c r="B1463" s="72" t="n">
        <x:v>12.25</x:v>
      </x:c>
    </x:row>
    <x:row r="1464" s="43" customFormat="1" ht="15" customHeight="1">
      <x:c r="A1464" s="69" t="n">
        <x:v>45659</x:v>
      </x:c>
      <x:c r="B1464" s="70" t="n">
        <x:v>12.25</x:v>
      </x:c>
    </x:row>
    <x:row r="1465" s="43" customFormat="1" ht="15" customHeight="1">
      <x:c r="A1465" s="71" t="n">
        <x:v>45660</x:v>
      </x:c>
      <x:c r="B1465" s="72" t="n">
        <x:v>12.25</x:v>
      </x:c>
    </x:row>
    <x:row r="1466" s="43" customFormat="1" ht="15" customHeight="1">
      <x:c r="A1466" s="69" t="n">
        <x:v>45661</x:v>
      </x:c>
      <x:c r="B1466" s="70" t="n">
        <x:v>12.25</x:v>
      </x:c>
    </x:row>
    <x:row r="1467" s="43" customFormat="1" ht="15" customHeight="1">
      <x:c r="A1467" s="71" t="n">
        <x:v>45662</x:v>
      </x:c>
      <x:c r="B1467" s="72" t="n">
        <x:v>12.25</x:v>
      </x:c>
    </x:row>
    <x:row r="1468" s="43" customFormat="1" ht="15" customHeight="1">
      <x:c r="A1468" s="69" t="n">
        <x:v>45663</x:v>
      </x:c>
      <x:c r="B1468" s="70" t="n">
        <x:v>12.25</x:v>
      </x:c>
    </x:row>
    <x:row r="1469" s="43" customFormat="1" ht="15" customHeight="1">
      <x:c r="A1469" s="71" t="n">
        <x:v>45664</x:v>
      </x:c>
      <x:c r="B1469" s="72" t="n">
        <x:v>12.25</x:v>
      </x:c>
    </x:row>
    <x:row r="1470" s="43" customFormat="1" ht="15" customHeight="1">
      <x:c r="A1470" s="69" t="n">
        <x:v>45665</x:v>
      </x:c>
      <x:c r="B1470" s="70" t="n">
        <x:v>12.25</x:v>
      </x:c>
    </x:row>
    <x:row r="1471" s="43" customFormat="1" ht="15" customHeight="1">
      <x:c r="A1471" s="71" t="n">
        <x:v>45666</x:v>
      </x:c>
      <x:c r="B1471" s="72" t="n">
        <x:v>12.25</x:v>
      </x:c>
    </x:row>
    <x:row r="1472" s="43" customFormat="1" ht="15" customHeight="1">
      <x:c r="A1472" s="69" t="n">
        <x:v>45667</x:v>
      </x:c>
      <x:c r="B1472" s="70" t="n">
        <x:v>12.25</x:v>
      </x:c>
    </x:row>
    <x:row r="1473" s="43" customFormat="1" ht="15" customHeight="1">
      <x:c r="A1473" s="71" t="n">
        <x:v>45668</x:v>
      </x:c>
      <x:c r="B1473" s="72" t="n">
        <x:v>12.25</x:v>
      </x:c>
    </x:row>
    <x:row r="1474" s="43" customFormat="1" ht="15" customHeight="1">
      <x:c r="A1474" s="69" t="n">
        <x:v>45669</x:v>
      </x:c>
      <x:c r="B1474" s="70" t="n">
        <x:v>12.25</x:v>
      </x:c>
    </x:row>
    <x:row r="1475" s="43" customFormat="1" ht="15" customHeight="1">
      <x:c r="A1475" s="71" t="n">
        <x:v>45670</x:v>
      </x:c>
      <x:c r="B1475" s="72" t="n">
        <x:v>12.25</x:v>
      </x:c>
    </x:row>
    <x:row r="1476" s="43" customFormat="1" ht="15" customHeight="1">
      <x:c r="A1476" s="69" t="n">
        <x:v>45671</x:v>
      </x:c>
      <x:c r="B1476" s="70" t="n">
        <x:v>12.25</x:v>
      </x:c>
    </x:row>
    <x:row r="1477" s="43" customFormat="1" ht="15" customHeight="1">
      <x:c r="A1477" s="71" t="n">
        <x:v>45672</x:v>
      </x:c>
      <x:c r="B1477" s="72" t="n">
        <x:v>12.25</x:v>
      </x:c>
    </x:row>
    <x:row r="1478" s="43" customFormat="1" ht="15" customHeight="1">
      <x:c r="A1478" s="69" t="n">
        <x:v>45673</x:v>
      </x:c>
      <x:c r="B1478" s="70" t="n">
        <x:v>12.25</x:v>
      </x:c>
    </x:row>
    <x:row r="1479" s="43" customFormat="1" ht="15" customHeight="1">
      <x:c r="A1479" s="71" t="n">
        <x:v>45674</x:v>
      </x:c>
      <x:c r="B1479" s="72" t="n">
        <x:v>12.25</x:v>
      </x:c>
    </x:row>
    <x:row r="1480" s="43" customFormat="1" ht="15" customHeight="1">
      <x:c r="A1480" s="69" t="n">
        <x:v>45675</x:v>
      </x:c>
      <x:c r="B1480" s="70" t="n">
        <x:v>12.25</x:v>
      </x:c>
    </x:row>
    <x:row r="1481" s="43" customFormat="1" ht="15" customHeight="1">
      <x:c r="A1481" s="71" t="n">
        <x:v>45676</x:v>
      </x:c>
      <x:c r="B1481" s="72" t="n">
        <x:v>12.25</x:v>
      </x:c>
    </x:row>
    <x:row r="1482" s="43" customFormat="1" ht="15" customHeight="1">
      <x:c r="A1482" s="69" t="n">
        <x:v>45677</x:v>
      </x:c>
      <x:c r="B1482" s="70" t="n">
        <x:v>12.25</x:v>
      </x:c>
    </x:row>
    <x:row r="1483" s="43" customFormat="1" ht="15" customHeight="1">
      <x:c r="A1483" s="71" t="n">
        <x:v>45678</x:v>
      </x:c>
      <x:c r="B1483" s="72" t="n">
        <x:v>12.25</x:v>
      </x:c>
    </x:row>
    <x:row r="1484" s="43" customFormat="1" ht="15" customHeight="1">
      <x:c r="A1484" s="69" t="n">
        <x:v>45679</x:v>
      </x:c>
      <x:c r="B1484" s="70" t="n">
        <x:v>12.25</x:v>
      </x:c>
    </x:row>
    <x:row r="1485" s="43" customFormat="1" ht="15" customHeight="1">
      <x:c r="A1485" s="71" t="n">
        <x:v>45680</x:v>
      </x:c>
      <x:c r="B1485" s="72" t="n">
        <x:v>12.25</x:v>
      </x:c>
    </x:row>
    <x:row r="1486" s="43" customFormat="1" ht="15" customHeight="1">
      <x:c r="A1486" s="69" t="n">
        <x:v>45681</x:v>
      </x:c>
      <x:c r="B1486" s="70" t="n">
        <x:v>12.25</x:v>
      </x:c>
    </x:row>
    <x:row r="1487" s="43" customFormat="1" ht="15" customHeight="1">
      <x:c r="A1487" s="71" t="n">
        <x:v>45682</x:v>
      </x:c>
      <x:c r="B1487" s="72" t="n">
        <x:v>12.25</x:v>
      </x:c>
    </x:row>
    <x:row r="1488" s="43" customFormat="1" ht="15" customHeight="1">
      <x:c r="A1488" s="69" t="n">
        <x:v>45683</x:v>
      </x:c>
      <x:c r="B1488" s="70" t="n">
        <x:v>12.25</x:v>
      </x:c>
    </x:row>
    <x:row r="1489" s="43" customFormat="1" ht="15" customHeight="1">
      <x:c r="A1489" s="71" t="n">
        <x:v>45684</x:v>
      </x:c>
      <x:c r="B1489" s="72" t="n">
        <x:v>12.25</x:v>
      </x:c>
    </x:row>
    <x:row r="1490" s="43" customFormat="1" ht="15" customHeight="1">
      <x:c r="A1490" s="69" t="n">
        <x:v>45685</x:v>
      </x:c>
      <x:c r="B1490" s="70" t="n">
        <x:v>12.25</x:v>
      </x:c>
    </x:row>
    <x:row r="1491" s="43" customFormat="1" ht="15" customHeight="1">
      <x:c r="A1491" s="71" t="n">
        <x:v>45686</x:v>
      </x:c>
      <x:c r="B1491" s="72" t="n">
        <x:v>12.25</x:v>
      </x:c>
    </x:row>
    <x:row r="1492" s="43" customFormat="1" ht="15" customHeight="1">
      <x:c r="A1492" s="69" t="n">
        <x:v>45687</x:v>
      </x:c>
      <x:c r="B1492" s="70" t="n">
        <x:v>13.25</x:v>
      </x:c>
    </x:row>
    <x:row r="1493" s="43" customFormat="1" ht="15" customHeight="1">
      <x:c r="A1493" s="71" t="n">
        <x:v>45688</x:v>
      </x:c>
      <x:c r="B1493" s="72" t="n">
        <x:v>13.25</x:v>
      </x:c>
    </x:row>
    <x:row r="1494" s="43" customFormat="1" ht="15" customHeight="1">
      <x:c r="A1494" s="69" t="n">
        <x:v>45689</x:v>
      </x:c>
      <x:c r="B1494" s="70" t="n">
        <x:v>13.25</x:v>
      </x:c>
    </x:row>
    <x:row r="1495" s="43" customFormat="1" ht="15" customHeight="1">
      <x:c r="A1495" s="71" t="n">
        <x:v>45690</x:v>
      </x:c>
      <x:c r="B1495" s="72" t="n">
        <x:v>13.25</x:v>
      </x:c>
    </x:row>
    <x:row r="1496" s="43" customFormat="1" ht="15" customHeight="1">
      <x:c r="A1496" s="69" t="n">
        <x:v>45691</x:v>
      </x:c>
      <x:c r="B1496" s="70" t="n">
        <x:v>13.25</x:v>
      </x:c>
    </x:row>
    <x:row r="1497" s="43" customFormat="1" ht="15" customHeight="1">
      <x:c r="A1497" s="71" t="n">
        <x:v>45692</x:v>
      </x:c>
      <x:c r="B1497" s="72" t="n">
        <x:v>13.25</x:v>
      </x:c>
    </x:row>
    <x:row r="1498" s="43" customFormat="1" ht="15" customHeight="1">
      <x:c r="A1498" s="69" t="n">
        <x:v>45693</x:v>
      </x:c>
      <x:c r="B1498" s="70" t="n">
        <x:v>13.25</x:v>
      </x:c>
    </x:row>
    <x:row r="1499" s="43" customFormat="1" ht="15" customHeight="1">
      <x:c r="A1499" s="71" t="n">
        <x:v>45694</x:v>
      </x:c>
      <x:c r="B1499" s="72" t="n">
        <x:v>13.25</x:v>
      </x:c>
    </x:row>
    <x:row r="1500" s="43" customFormat="1" ht="15" customHeight="1">
      <x:c r="A1500" s="69" t="n">
        <x:v>45695</x:v>
      </x:c>
      <x:c r="B1500" s="70" t="n">
        <x:v>13.25</x:v>
      </x:c>
    </x:row>
    <x:row r="1501" s="43" customFormat="1" ht="15" customHeight="1">
      <x:c r="A1501" s="71" t="n">
        <x:v>45696</x:v>
      </x:c>
      <x:c r="B1501" s="72" t="n">
        <x:v>13.25</x:v>
      </x:c>
    </x:row>
    <x:row r="1502" s="43" customFormat="1" ht="15" customHeight="1">
      <x:c r="A1502" s="69" t="n">
        <x:v>45697</x:v>
      </x:c>
      <x:c r="B1502" s="70" t="n">
        <x:v>13.25</x:v>
      </x:c>
    </x:row>
    <x:row r="1503" s="43" customFormat="1" ht="15" customHeight="1">
      <x:c r="A1503" s="71" t="n">
        <x:v>45698</x:v>
      </x:c>
      <x:c r="B1503" s="72" t="n">
        <x:v>13.25</x:v>
      </x:c>
    </x:row>
    <x:row r="1504" s="43" customFormat="1" ht="15" customHeight="1">
      <x:c r="A1504" s="69" t="n">
        <x:v>45699</x:v>
      </x:c>
      <x:c r="B1504" s="70" t="n">
        <x:v>13.25</x:v>
      </x:c>
    </x:row>
    <x:row r="1505" s="43" customFormat="1" ht="15" customHeight="1">
      <x:c r="A1505" s="71" t="n">
        <x:v>45700</x:v>
      </x:c>
      <x:c r="B1505" s="72" t="n">
        <x:v>13.25</x:v>
      </x:c>
    </x:row>
    <x:row r="1506" s="43" customFormat="1" ht="15" customHeight="1">
      <x:c r="A1506" s="69" t="n">
        <x:v>45701</x:v>
      </x:c>
      <x:c r="B1506" s="70" t="n">
        <x:v>13.25</x:v>
      </x:c>
    </x:row>
    <x:row r="1507" s="43" customFormat="1" ht="15" customHeight="1">
      <x:c r="A1507" s="71" t="n">
        <x:v>45702</x:v>
      </x:c>
      <x:c r="B1507" s="72" t="n">
        <x:v>13.25</x:v>
      </x:c>
    </x:row>
    <x:row r="1508" s="43" customFormat="1" ht="15" customHeight="1">
      <x:c r="A1508" s="69" t="n">
        <x:v>45703</x:v>
      </x:c>
      <x:c r="B1508" s="70" t="n">
        <x:v>13.25</x:v>
      </x:c>
    </x:row>
    <x:row r="1509" s="43" customFormat="1" ht="15" customHeight="1">
      <x:c r="A1509" s="71" t="n">
        <x:v>45704</x:v>
      </x:c>
      <x:c r="B1509" s="72" t="n">
        <x:v>13.25</x:v>
      </x:c>
    </x:row>
    <x:row r="1510" s="43" customFormat="1" ht="15" customHeight="1">
      <x:c r="A1510" s="69" t="n">
        <x:v>45705</x:v>
      </x:c>
      <x:c r="B1510" s="70" t="n">
        <x:v>13.25</x:v>
      </x:c>
    </x:row>
    <x:row r="1511" s="43" customFormat="1" ht="15" customHeight="1">
      <x:c r="A1511" s="71" t="n">
        <x:v>45706</x:v>
      </x:c>
      <x:c r="B1511" s="72" t="n">
        <x:v>13.25</x:v>
      </x:c>
    </x:row>
    <x:row r="1512" s="43" customFormat="1" ht="15" customHeight="1">
      <x:c r="A1512" s="69" t="n">
        <x:v>45707</x:v>
      </x:c>
      <x:c r="B1512" s="70" t="n">
        <x:v>13.25</x:v>
      </x:c>
    </x:row>
    <x:row r="1513" s="43" customFormat="1" ht="15" customHeight="1">
      <x:c r="A1513" s="71" t="n">
        <x:v>45708</x:v>
      </x:c>
      <x:c r="B1513" s="72" t="n">
        <x:v>13.25</x:v>
      </x:c>
    </x:row>
    <x:row r="1514" s="43" customFormat="1" ht="15" customHeight="1">
      <x:c r="A1514" s="69" t="n">
        <x:v>45709</x:v>
      </x:c>
      <x:c r="B1514" s="70" t="n">
        <x:v>13.25</x:v>
      </x:c>
    </x:row>
    <x:row r="1515" s="43" customFormat="1" ht="15" customHeight="1">
      <x:c r="A1515" s="71" t="n">
        <x:v>45710</x:v>
      </x:c>
      <x:c r="B1515" s="72" t="n">
        <x:v>13.25</x:v>
      </x:c>
    </x:row>
    <x:row r="1516" s="43" customFormat="1" ht="15" customHeight="1">
      <x:c r="A1516" s="69" t="n">
        <x:v>45711</x:v>
      </x:c>
      <x:c r="B1516" s="70" t="n">
        <x:v>13.25</x:v>
      </x:c>
    </x:row>
    <x:row r="1517" s="43" customFormat="1" ht="15" customHeight="1">
      <x:c r="A1517" s="71" t="n">
        <x:v>45712</x:v>
      </x:c>
      <x:c r="B1517" s="72" t="n">
        <x:v>13.25</x:v>
      </x:c>
    </x:row>
    <x:row r="1518" s="43" customFormat="1" ht="15" customHeight="1">
      <x:c r="A1518" s="69" t="n">
        <x:v>45713</x:v>
      </x:c>
      <x:c r="B1518" s="70" t="n">
        <x:v>13.25</x:v>
      </x:c>
    </x:row>
    <x:row r="1519" s="43" customFormat="1" ht="15" customHeight="1">
      <x:c r="A1519" s="71" t="n">
        <x:v>45714</x:v>
      </x:c>
      <x:c r="B1519" s="72" t="n">
        <x:v>13.25</x:v>
      </x:c>
    </x:row>
    <x:row r="1520" s="43" customFormat="1" ht="15" customHeight="1">
      <x:c r="A1520" s="69" t="n">
        <x:v>45715</x:v>
      </x:c>
      <x:c r="B1520" s="70" t="n">
        <x:v>13.25</x:v>
      </x:c>
    </x:row>
    <x:row r="1521" s="43" customFormat="1" ht="15" customHeight="1">
      <x:c r="A1521" s="71" t="n">
        <x:v>45716</x:v>
      </x:c>
      <x:c r="B1521" s="72" t="n">
        <x:v>13.25</x:v>
      </x:c>
    </x:row>
    <x:row r="1522" s="43" customFormat="1" ht="15" customHeight="1">
      <x:c r="A1522" s="69" t="n">
        <x:v>45717</x:v>
      </x:c>
      <x:c r="B1522" s="70" t="n">
        <x:v>13.25</x:v>
      </x:c>
    </x:row>
    <x:row r="1523" s="43" customFormat="1" ht="15" customHeight="1">
      <x:c r="A1523" s="71" t="n">
        <x:v>45718</x:v>
      </x:c>
      <x:c r="B1523" s="72" t="n">
        <x:v>13.25</x:v>
      </x:c>
    </x:row>
    <x:row r="1524" s="43" customFormat="1" ht="15" customHeight="1">
      <x:c r="A1524" s="69" t="n">
        <x:v>45719</x:v>
      </x:c>
      <x:c r="B1524" s="70" t="n">
        <x:v>13.25</x:v>
      </x:c>
    </x:row>
    <x:row r="1525" s="43" customFormat="1" ht="15" customHeight="1">
      <x:c r="A1525" s="71" t="n">
        <x:v>45720</x:v>
      </x:c>
      <x:c r="B1525" s="72" t="n">
        <x:v>13.25</x:v>
      </x:c>
    </x:row>
    <x:row r="1526" s="43" customFormat="1" ht="15" customHeight="1">
      <x:c r="A1526" s="69" t="n">
        <x:v>45721</x:v>
      </x:c>
      <x:c r="B1526" s="70" t="n">
        <x:v>13.25</x:v>
      </x:c>
    </x:row>
    <x:row r="1527" s="43" customFormat="1" ht="15" customHeight="1">
      <x:c r="A1527" s="71" t="n">
        <x:v>45722</x:v>
      </x:c>
      <x:c r="B1527" s="72" t="n">
        <x:v>13.25</x:v>
      </x:c>
    </x:row>
    <x:row r="1528" s="43" customFormat="1" ht="15" customHeight="1">
      <x:c r="A1528" s="69" t="n">
        <x:v>45723</x:v>
      </x:c>
      <x:c r="B1528" s="70" t="n">
        <x:v>13.25</x:v>
      </x:c>
    </x:row>
    <x:row r="1529" s="43" customFormat="1" ht="15" customHeight="1">
      <x:c r="A1529" s="71" t="n">
        <x:v>45724</x:v>
      </x:c>
      <x:c r="B1529" s="72" t="n">
        <x:v>13.25</x:v>
      </x:c>
    </x:row>
    <x:row r="1530" s="43" customFormat="1" ht="15" customHeight="1">
      <x:c r="A1530" s="69" t="n">
        <x:v>45725</x:v>
      </x:c>
      <x:c r="B1530" s="70" t="n">
        <x:v>13.25</x:v>
      </x:c>
    </x:row>
    <x:row r="1531" s="43" customFormat="1" ht="15" customHeight="1">
      <x:c r="A1531" s="71" t="n">
        <x:v>45726</x:v>
      </x:c>
      <x:c r="B1531" s="72" t="n">
        <x:v>13.25</x:v>
      </x:c>
    </x:row>
    <x:row r="1532" s="43" customFormat="1" ht="15" customHeight="1">
      <x:c r="A1532" s="69" t="n">
        <x:v>45727</x:v>
      </x:c>
      <x:c r="B1532" s="70" t="n">
        <x:v>13.25</x:v>
      </x:c>
    </x:row>
    <x:row r="1533" s="43" customFormat="1" ht="15" customHeight="1">
      <x:c r="A1533" s="71" t="n">
        <x:v>45728</x:v>
      </x:c>
      <x:c r="B1533" s="72" t="n">
        <x:v>13.25</x:v>
      </x:c>
    </x:row>
    <x:row r="1534" s="43" customFormat="1" ht="15" customHeight="1">
      <x:c r="A1534" s="69" t="n">
        <x:v>45729</x:v>
      </x:c>
      <x:c r="B1534" s="70" t="n">
        <x:v>13.25</x:v>
      </x:c>
    </x:row>
    <x:row r="1535" s="43" customFormat="1" ht="15" customHeight="1">
      <x:c r="A1535" s="71" t="n">
        <x:v>45730</x:v>
      </x:c>
      <x:c r="B1535" s="72" t="n">
        <x:v>13.25</x:v>
      </x:c>
    </x:row>
    <x:row r="1536" s="43" customFormat="1" ht="15" customHeight="1">
      <x:c r="A1536" s="69" t="n">
        <x:v>45731</x:v>
      </x:c>
      <x:c r="B1536" s="70" t="n">
        <x:v>13.25</x:v>
      </x:c>
    </x:row>
    <x:row r="1537" s="43" customFormat="1" ht="15" customHeight="1">
      <x:c r="A1537" s="71" t="n">
        <x:v>45732</x:v>
      </x:c>
      <x:c r="B1537" s="72" t="n">
        <x:v>13.25</x:v>
      </x:c>
    </x:row>
    <x:row r="1538" s="43" customFormat="1" ht="15" customHeight="1">
      <x:c r="A1538" s="69" t="n">
        <x:v>45733</x:v>
      </x:c>
      <x:c r="B1538" s="70" t="n">
        <x:v>13.25</x:v>
      </x:c>
    </x:row>
    <x:row r="1539" s="43" customFormat="1" ht="15" customHeight="1">
      <x:c r="A1539" s="71" t="n">
        <x:v>45734</x:v>
      </x:c>
      <x:c r="B1539" s="72" t="n">
        <x:v>13.25</x:v>
      </x:c>
    </x:row>
    <x:row r="1540" s="43" customFormat="1" ht="15" customHeight="1">
      <x:c r="A1540" s="69" t="n">
        <x:v>45735</x:v>
      </x:c>
      <x:c r="B1540" s="70" t="n">
        <x:v>13.25</x:v>
      </x:c>
    </x:row>
    <x:row r="1541" s="43" customFormat="1" ht="15" customHeight="1">
      <x:c r="A1541" s="71" t="n">
        <x:v>45736</x:v>
      </x:c>
      <x:c r="B1541" s="72" t="n">
        <x:v>14.25</x:v>
      </x:c>
    </x:row>
    <x:row r="1542" s="43" customFormat="1" ht="15" customHeight="1">
      <x:c r="A1542" s="69" t="n">
        <x:v>45737</x:v>
      </x:c>
      <x:c r="B1542" s="70" t="n">
        <x:v>14.25</x:v>
      </x:c>
    </x:row>
    <x:row r="1543" s="43" customFormat="1" ht="15" customHeight="1">
      <x:c r="A1543" s="71" t="n">
        <x:v>45738</x:v>
      </x:c>
      <x:c r="B1543" s="72" t="n">
        <x:v>14.25</x:v>
      </x:c>
    </x:row>
    <x:row r="1544" s="43" customFormat="1" ht="15" customHeight="1">
      <x:c r="A1544" s="69" t="n">
        <x:v>45739</x:v>
      </x:c>
      <x:c r="B1544" s="70" t="n">
        <x:v>14.25</x:v>
      </x:c>
    </x:row>
    <x:row r="1545" s="43" customFormat="1" ht="15" customHeight="1">
      <x:c r="A1545" s="71" t="n">
        <x:v>45740</x:v>
      </x:c>
      <x:c r="B1545" s="72" t="n">
        <x:v>14.25</x:v>
      </x:c>
    </x:row>
    <x:row r="1546" s="43" customFormat="1" ht="15" customHeight="1">
      <x:c r="A1546" s="69" t="n">
        <x:v>45741</x:v>
      </x:c>
      <x:c r="B1546" s="70" t="n">
        <x:v>14.25</x:v>
      </x:c>
    </x:row>
    <x:row r="1547" s="43" customFormat="1" ht="15" customHeight="1">
      <x:c r="A1547" s="71" t="n">
        <x:v>45742</x:v>
      </x:c>
      <x:c r="B1547" s="72" t="n">
        <x:v>14.25</x:v>
      </x:c>
    </x:row>
    <x:row r="1548" s="43" customFormat="1" ht="15" customHeight="1">
      <x:c r="A1548" s="69" t="n">
        <x:v>45743</x:v>
      </x:c>
      <x:c r="B1548" s="70" t="n">
        <x:v>14.25</x:v>
      </x:c>
    </x:row>
    <x:row r="1549" s="43" customFormat="1" ht="15" customHeight="1">
      <x:c r="A1549" s="71" t="n">
        <x:v>45744</x:v>
      </x:c>
      <x:c r="B1549" s="72" t="n">
        <x:v>14.25</x:v>
      </x:c>
    </x:row>
    <x:row r="1550" s="43" customFormat="1" ht="15" customHeight="1">
      <x:c r="A1550" s="69" t="n">
        <x:v>45745</x:v>
      </x:c>
      <x:c r="B1550" s="70" t="n">
        <x:v>14.25</x:v>
      </x:c>
    </x:row>
    <x:row r="1551" s="43" customFormat="1" ht="15" customHeight="1">
      <x:c r="A1551" s="71" t="n">
        <x:v>45746</x:v>
      </x:c>
      <x:c r="B1551" s="72" t="n">
        <x:v>14.25</x:v>
      </x:c>
    </x:row>
    <x:row r="1552" s="43" customFormat="1" ht="15" customHeight="1">
      <x:c r="A1552" s="69" t="n">
        <x:v>45747</x:v>
      </x:c>
      <x:c r="B1552" s="70" t="n">
        <x:v>14.25</x:v>
      </x:c>
    </x:row>
    <x:row r="1553" s="43" customFormat="1" ht="15" customHeight="1">
      <x:c r="A1553" s="71" t="n">
        <x:v>45748</x:v>
      </x:c>
      <x:c r="B1553" s="72" t="n">
        <x:v>14.25</x:v>
      </x:c>
    </x:row>
    <x:row r="1554" s="43" customFormat="1" ht="15" customHeight="1">
      <x:c r="A1554" s="69" t="n">
        <x:v>45749</x:v>
      </x:c>
      <x:c r="B1554" s="70" t="n">
        <x:v>14.25</x:v>
      </x:c>
    </x:row>
    <x:row r="1555" s="43" customFormat="1" ht="15" customHeight="1">
      <x:c r="A1555" s="71" t="n">
        <x:v>45750</x:v>
      </x:c>
      <x:c r="B1555" s="72" t="n">
        <x:v>14.25</x:v>
      </x:c>
    </x:row>
    <x:row r="1556" s="43" customFormat="1" ht="15" customHeight="1">
      <x:c r="A1556" s="69" t="n">
        <x:v>45751</x:v>
      </x:c>
      <x:c r="B1556" s="70" t="n">
        <x:v>14.25</x:v>
      </x:c>
    </x:row>
    <x:row r="1557" s="43" customFormat="1" ht="15" customHeight="1">
      <x:c r="A1557" s="71" t="n">
        <x:v>45752</x:v>
      </x:c>
      <x:c r="B1557" s="72" t="n">
        <x:v>14.25</x:v>
      </x:c>
    </x:row>
    <x:row r="1558" s="43" customFormat="1" ht="15" customHeight="1">
      <x:c r="A1558" s="69" t="n">
        <x:v>45753</x:v>
      </x:c>
      <x:c r="B1558" s="70" t="n">
        <x:v>14.25</x:v>
      </x:c>
    </x:row>
    <x:row r="1559" s="43" customFormat="1" ht="15" customHeight="1">
      <x:c r="A1559" s="71" t="n">
        <x:v>45754</x:v>
      </x:c>
      <x:c r="B1559" s="72" t="n">
        <x:v>14.25</x:v>
      </x:c>
    </x:row>
    <x:row r="1560" s="43" customFormat="1" ht="15" customHeight="1">
      <x:c r="A1560" s="69" t="n">
        <x:v>45755</x:v>
      </x:c>
      <x:c r="B1560" s="70" t="n">
        <x:v>14.25</x:v>
      </x:c>
    </x:row>
    <x:row r="1561" s="43" customFormat="1" ht="15" customHeight="1">
      <x:c r="A1561" s="71" t="n">
        <x:v>45756</x:v>
      </x:c>
      <x:c r="B1561" s="72" t="n">
        <x:v>14.25</x:v>
      </x:c>
    </x:row>
    <x:row r="1562" s="43" customFormat="1" ht="15" customHeight="1">
      <x:c r="A1562" s="69" t="n">
        <x:v>45757</x:v>
      </x:c>
      <x:c r="B1562" s="70" t="n">
        <x:v>14.25</x:v>
      </x:c>
    </x:row>
    <x:row r="1563" s="43" customFormat="1" ht="15" customHeight="1">
      <x:c r="A1563" s="71" t="n">
        <x:v>45758</x:v>
      </x:c>
      <x:c r="B1563" s="72" t="n">
        <x:v>14.25</x:v>
      </x:c>
    </x:row>
    <x:row r="1564" s="43" customFormat="1" ht="15" customHeight="1">
      <x:c r="A1564" s="69" t="n">
        <x:v>45759</x:v>
      </x:c>
      <x:c r="B1564" s="70" t="n">
        <x:v>14.25</x:v>
      </x:c>
    </x:row>
    <x:row r="1565" s="43" customFormat="1" ht="15" customHeight="1">
      <x:c r="A1565" s="71" t="n">
        <x:v>45760</x:v>
      </x:c>
      <x:c r="B1565" s="72" t="n">
        <x:v>14.25</x:v>
      </x:c>
    </x:row>
    <x:row r="1566" s="43" customFormat="1" ht="15" customHeight="1">
      <x:c r="A1566" s="69" t="n">
        <x:v>45761</x:v>
      </x:c>
      <x:c r="B1566" s="70" t="n">
        <x:v>14.25</x:v>
      </x:c>
    </x:row>
    <x:row r="1567" s="43" customFormat="1" ht="15" customHeight="1">
      <x:c r="A1567" s="71" t="n">
        <x:v>45762</x:v>
      </x:c>
      <x:c r="B1567" s="72" t="n">
        <x:v>14.25</x:v>
      </x:c>
    </x:row>
    <x:row r="1568" s="43" customFormat="1" ht="15" customHeight="1">
      <x:c r="A1568" s="69" t="n">
        <x:v>45763</x:v>
      </x:c>
      <x:c r="B1568" s="70" t="n">
        <x:v>14.25</x:v>
      </x:c>
    </x:row>
    <x:row r="1569" s="43" customFormat="1" ht="15" customHeight="1">
      <x:c r="A1569" s="71" t="n">
        <x:v>45764</x:v>
      </x:c>
      <x:c r="B1569" s="72" t="n">
        <x:v>14.25</x:v>
      </x:c>
    </x:row>
    <x:row r="1570" s="43" customFormat="1" ht="15" customHeight="1">
      <x:c r="A1570" s="69" t="n">
        <x:v>45765</x:v>
      </x:c>
      <x:c r="B1570" s="70" t="n">
        <x:v>14.25</x:v>
      </x:c>
    </x:row>
    <x:row r="1571" s="43" customFormat="1" ht="15" customHeight="1">
      <x:c r="A1571" s="71" t="n">
        <x:v>45766</x:v>
      </x:c>
      <x:c r="B1571" s="72" t="n">
        <x:v>14.25</x:v>
      </x:c>
    </x:row>
    <x:row r="1572" s="43" customFormat="1" ht="15" customHeight="1">
      <x:c r="A1572" s="69" t="n">
        <x:v>45767</x:v>
      </x:c>
      <x:c r="B1572" s="70" t="n">
        <x:v>14.25</x:v>
      </x:c>
    </x:row>
    <x:row r="1573" s="43" customFormat="1" ht="15" customHeight="1">
      <x:c r="A1573" s="71" t="n">
        <x:v>45768</x:v>
      </x:c>
      <x:c r="B1573" s="72" t="n">
        <x:v>14.25</x:v>
      </x:c>
    </x:row>
    <x:row r="1574" s="43" customFormat="1" ht="15" customHeight="1">
      <x:c r="A1574" s="69" t="n">
        <x:v>45769</x:v>
      </x:c>
      <x:c r="B1574" s="70" t="n">
        <x:v>14.25</x:v>
      </x:c>
    </x:row>
    <x:row r="1575" s="43" customFormat="1" ht="15" customHeight="1">
      <x:c r="A1575" s="71" t="n">
        <x:v>45770</x:v>
      </x:c>
      <x:c r="B1575" s="72" t="n">
        <x:v>14.25</x:v>
      </x:c>
    </x:row>
    <x:row r="1576" s="43" customFormat="1" ht="15" customHeight="1">
      <x:c r="A1576" s="69" t="n">
        <x:v>45771</x:v>
      </x:c>
      <x:c r="B1576" s="70" t="n">
        <x:v>14.25</x:v>
      </x:c>
    </x:row>
    <x:row r="1577" s="43" customFormat="1" ht="15" customHeight="1">
      <x:c r="A1577" s="71" t="n">
        <x:v>45772</x:v>
      </x:c>
      <x:c r="B1577" s="72" t="n">
        <x:v>14.25</x:v>
      </x:c>
    </x:row>
    <x:row r="1578" s="43" customFormat="1" ht="15" customHeight="1">
      <x:c r="A1578" s="69" t="n">
        <x:v>45773</x:v>
      </x:c>
      <x:c r="B1578" s="70" t="n">
        <x:v>14.25</x:v>
      </x:c>
    </x:row>
    <x:row r="1579" s="43" customFormat="1" ht="15" customHeight="1">
      <x:c r="A1579" s="71" t="n">
        <x:v>45774</x:v>
      </x:c>
      <x:c r="B1579" s="72" t="n">
        <x:v>14.25</x:v>
      </x:c>
    </x:row>
    <x:row r="1580" s="43" customFormat="1" ht="15" customHeight="1">
      <x:c r="A1580" s="69" t="n">
        <x:v>45775</x:v>
      </x:c>
      <x:c r="B1580" s="70" t="n">
        <x:v>14.25</x:v>
      </x:c>
    </x:row>
    <x:row r="1581" s="43" customFormat="1" ht="15" customHeight="1">
      <x:c r="A1581" s="71" t="n">
        <x:v>45776</x:v>
      </x:c>
      <x:c r="B1581" s="72" t="n">
        <x:v>14.25</x:v>
      </x:c>
    </x:row>
    <x:row r="1582" s="43" customFormat="1" ht="15" customHeight="1">
      <x:c r="A1582" s="69" t="n">
        <x:v>45777</x:v>
      </x:c>
      <x:c r="B1582" s="70" t="n">
        <x:v>14.25</x:v>
      </x:c>
    </x:row>
    <x:row r="1583" s="43" customFormat="1" ht="15" customHeight="1">
      <x:c r="A1583" s="71" t="n">
        <x:v>45778</x:v>
      </x:c>
      <x:c r="B1583" s="72" t="n">
        <x:v>14.25</x:v>
      </x:c>
    </x:row>
    <x:row r="1584" s="43" customFormat="1" ht="15" customHeight="1">
      <x:c r="A1584" s="69" t="n">
        <x:v>45779</x:v>
      </x:c>
      <x:c r="B1584" s="70" t="n">
        <x:v>14.25</x:v>
      </x:c>
    </x:row>
    <x:row r="1585" s="43" customFormat="1" ht="15" customHeight="1">
      <x:c r="A1585" s="71" t="n">
        <x:v>45780</x:v>
      </x:c>
      <x:c r="B1585" s="72" t="n">
        <x:v>14.25</x:v>
      </x:c>
    </x:row>
    <x:row r="1586" s="43" customFormat="1" ht="15" customHeight="1">
      <x:c r="A1586" s="69" t="n">
        <x:v>45781</x:v>
      </x:c>
      <x:c r="B1586" s="70" t="n">
        <x:v>14.25</x:v>
      </x:c>
    </x:row>
    <x:row r="1587" s="43" customFormat="1" ht="15" customHeight="1">
      <x:c r="A1587" s="71" t="n">
        <x:v>45782</x:v>
      </x:c>
      <x:c r="B1587" s="72" t="n">
        <x:v>14.25</x:v>
      </x:c>
    </x:row>
    <x:row r="1588" s="43" customFormat="1" ht="15" customHeight="1">
      <x:c r="A1588" s="69" t="n">
        <x:v>45783</x:v>
      </x:c>
      <x:c r="B1588" s="70" t="n">
        <x:v>14.25</x:v>
      </x:c>
    </x:row>
    <x:row r="1589" s="43" customFormat="1" ht="15" customHeight="1">
      <x:c r="A1589" s="71" t="n">
        <x:v>45784</x:v>
      </x:c>
      <x:c r="B1589" s="72" t="n">
        <x:v>14.25</x:v>
      </x:c>
    </x:row>
    <x:row r="1590" s="43" customFormat="1" ht="15" customHeight="1">
      <x:c r="A1590" s="69" t="n">
        <x:v>45785</x:v>
      </x:c>
      <x:c r="B1590" s="70" t="n">
        <x:v>14.75</x:v>
      </x:c>
    </x:row>
    <x:row r="1591" s="43" customFormat="1" ht="15" customHeight="1">
      <x:c r="A1591" s="71" t="n">
        <x:v>45786</x:v>
      </x:c>
      <x:c r="B1591" s="72" t="n">
        <x:v>14.75</x:v>
      </x:c>
    </x:row>
    <x:row r="1592" s="43" customFormat="1" ht="15" customHeight="1">
      <x:c r="A1592" s="69" t="n">
        <x:v>45787</x:v>
      </x:c>
      <x:c r="B1592" s="70" t="n">
        <x:v>14.75</x:v>
      </x:c>
    </x:row>
    <x:row r="1593" s="43" customFormat="1" ht="15" customHeight="1">
      <x:c r="A1593" s="71" t="n">
        <x:v>45788</x:v>
      </x:c>
      <x:c r="B1593" s="72" t="n">
        <x:v>14.75</x:v>
      </x:c>
    </x:row>
    <x:row r="1594" s="43" customFormat="1" ht="15" customHeight="1">
      <x:c r="A1594" s="69" t="n">
        <x:v>45789</x:v>
      </x:c>
      <x:c r="B1594" s="70" t="n">
        <x:v>14.75</x:v>
      </x:c>
    </x:row>
    <x:row r="1595" s="43" customFormat="1" ht="15" customHeight="1">
      <x:c r="A1595" s="71" t="n">
        <x:v>45790</x:v>
      </x:c>
      <x:c r="B1595" s="72" t="n">
        <x:v>14.75</x:v>
      </x:c>
    </x:row>
    <x:row r="1596" s="43" customFormat="1" ht="15" customHeight="1">
      <x:c r="A1596" s="69" t="n">
        <x:v>45791</x:v>
      </x:c>
      <x:c r="B1596" s="70" t="n">
        <x:v>14.75</x:v>
      </x:c>
    </x:row>
    <x:row r="1597" s="43" customFormat="1" ht="15" customHeight="1">
      <x:c r="A1597" s="71" t="n">
        <x:v>45792</x:v>
      </x:c>
      <x:c r="B1597" s="72" t="n">
        <x:v>14.75</x:v>
      </x:c>
    </x:row>
    <x:row r="1598" s="43" customFormat="1" ht="15" customHeight="1">
      <x:c r="A1598" s="69" t="n">
        <x:v>45793</x:v>
      </x:c>
      <x:c r="B1598" s="70" t="n">
        <x:v>14.75</x:v>
      </x:c>
    </x:row>
    <x:row r="1599" s="43" customFormat="1" ht="15" customHeight="1">
      <x:c r="A1599" s="71" t="n">
        <x:v>45794</x:v>
      </x:c>
      <x:c r="B1599" s="72" t="n">
        <x:v>14.75</x:v>
      </x:c>
    </x:row>
    <x:row r="1600" s="43" customFormat="1" ht="15" customHeight="1">
      <x:c r="A1600" s="69" t="n">
        <x:v>45795</x:v>
      </x:c>
      <x:c r="B1600" s="70" t="n">
        <x:v>14.75</x:v>
      </x:c>
    </x:row>
    <x:row r="1601" s="43" customFormat="1" ht="15" customHeight="1">
      <x:c r="A1601" s="71" t="n">
        <x:v>45796</x:v>
      </x:c>
      <x:c r="B1601" s="72" t="n">
        <x:v>14.75</x:v>
      </x:c>
    </x:row>
    <x:row r="1602" s="43" customFormat="1" ht="15" customHeight="1">
      <x:c r="A1602" s="69" t="n">
        <x:v>45797</x:v>
      </x:c>
      <x:c r="B1602" s="70" t="n">
        <x:v>14.75</x:v>
      </x:c>
    </x:row>
    <x:row r="1603" s="43" customFormat="1" ht="15" customHeight="1">
      <x:c r="A1603" s="71" t="n">
        <x:v>45798</x:v>
      </x:c>
      <x:c r="B1603" s="72" t="n">
        <x:v>14.75</x:v>
      </x:c>
    </x:row>
    <x:row r="1604" s="43" customFormat="1" ht="15" customHeight="1">
      <x:c r="A1604" s="69" t="n">
        <x:v>45799</x:v>
      </x:c>
      <x:c r="B1604" s="70" t="n">
        <x:v>14.75</x:v>
      </x:c>
    </x:row>
    <x:row r="1605" s="43" customFormat="1" ht="15" customHeight="1">
      <x:c r="A1605" s="71" t="n">
        <x:v>45800</x:v>
      </x:c>
      <x:c r="B1605" s="72" t="n">
        <x:v>14.75</x:v>
      </x:c>
    </x:row>
    <x:row r="1606" s="43" customFormat="1" ht="15" customHeight="1">
      <x:c r="A1606" s="69" t="n">
        <x:v>45801</x:v>
      </x:c>
      <x:c r="B1606" s="70" t="n">
        <x:v>14.75</x:v>
      </x:c>
    </x:row>
    <x:row r="1607" s="43" customFormat="1" ht="15" customHeight="1">
      <x:c r="A1607" s="71" t="n">
        <x:v>45802</x:v>
      </x:c>
      <x:c r="B1607" s="72" t="n">
        <x:v>14.75</x:v>
      </x:c>
    </x:row>
    <x:row r="1608" s="43" customFormat="1" ht="15" customHeight="1">
      <x:c r="A1608" s="69" t="n">
        <x:v>45803</x:v>
      </x:c>
      <x:c r="B1608" s="70" t="n">
        <x:v>14.75</x:v>
      </x:c>
    </x:row>
    <x:row r="1609" s="43" customFormat="1" ht="15" customHeight="1">
      <x:c r="A1609" s="71" t="n">
        <x:v>45804</x:v>
      </x:c>
      <x:c r="B1609" s="72" t="n">
        <x:v>14.75</x:v>
      </x:c>
    </x:row>
    <x:row r="1610" s="43" customFormat="1" ht="15" customHeight="1">
      <x:c r="A1610" s="69" t="n">
        <x:v>45805</x:v>
      </x:c>
      <x:c r="B1610" s="70" t="n">
        <x:v>14.75</x:v>
      </x:c>
    </x:row>
    <x:row r="1611" s="43" customFormat="1" ht="15" customHeight="1">
      <x:c r="A1611" s="71" t="n">
        <x:v>45806</x:v>
      </x:c>
      <x:c r="B1611" s="72" t="n">
        <x:v>14.75</x:v>
      </x:c>
    </x:row>
    <x:row r="1612" s="43" customFormat="1" ht="15" customHeight="1">
      <x:c r="A1612" s="69" t="n">
        <x:v>45807</x:v>
      </x:c>
      <x:c r="B1612" s="70" t="n">
        <x:v>14.75</x:v>
      </x:c>
    </x:row>
    <x:row r="1613" s="43" customFormat="1" ht="15" customHeight="1">
      <x:c r="A1613" s="71" t="n">
        <x:v>45808</x:v>
      </x:c>
      <x:c r="B1613" s="72" t="n">
        <x:v>14.75</x:v>
      </x:c>
    </x:row>
    <x:row r="1614" s="43" customFormat="1" ht="15" customHeight="1">
      <x:c r="A1614" s="69" t="n">
        <x:v>45809</x:v>
      </x:c>
      <x:c r="B1614" s="70" t="n">
        <x:v>14.75</x:v>
      </x:c>
    </x:row>
    <x:row r="1615" s="43" customFormat="1" ht="15" customHeight="1">
      <x:c r="A1615" s="71" t="n">
        <x:v>45810</x:v>
      </x:c>
      <x:c r="B1615" s="72" t="n">
        <x:v>14.75</x:v>
      </x:c>
    </x:row>
    <x:row r="1616" s="43" customFormat="1" ht="15" customHeight="1">
      <x:c r="A1616" s="69" t="n">
        <x:v>45811</x:v>
      </x:c>
      <x:c r="B1616" s="70" t="n">
        <x:v>14.75</x:v>
      </x:c>
    </x:row>
    <x:row r="1617" s="43" customFormat="1" ht="15" customHeight="1">
      <x:c r="A1617" s="71" t="n">
        <x:v>45812</x:v>
      </x:c>
      <x:c r="B1617" s="72" t="n">
        <x:v>14.75</x:v>
      </x:c>
    </x:row>
    <x:row r="1618" s="43" customFormat="1" ht="15" customHeight="1">
      <x:c r="A1618" s="69" t="n">
        <x:v>45813</x:v>
      </x:c>
      <x:c r="B1618" s="70" t="n">
        <x:v>14.75</x:v>
      </x:c>
    </x:row>
    <x:row r="1619" s="43" customFormat="1" ht="15" customHeight="1">
      <x:c r="A1619" s="71" t="n">
        <x:v>45814</x:v>
      </x:c>
      <x:c r="B1619" s="72" t="n">
        <x:v>14.75</x:v>
      </x:c>
    </x:row>
    <x:row r="1620" s="43" customFormat="1" ht="15" customHeight="1">
      <x:c r="A1620" s="69" t="n">
        <x:v>45815</x:v>
      </x:c>
      <x:c r="B1620" s="70" t="n">
        <x:v>14.75</x:v>
      </x:c>
    </x:row>
    <x:row r="1621" s="43" customFormat="1" ht="15" customHeight="1">
      <x:c r="A1621" s="71" t="n">
        <x:v>45816</x:v>
      </x:c>
      <x:c r="B1621" s="72" t="n">
        <x:v>14.75</x:v>
      </x:c>
    </x:row>
    <x:row r="1622" s="43" customFormat="1" ht="15" customHeight="1">
      <x:c r="A1622" s="69" t="n">
        <x:v>45817</x:v>
      </x:c>
      <x:c r="B1622" s="70" t="n">
        <x:v>14.75</x:v>
      </x:c>
    </x:row>
    <x:row r="1623" s="43" customFormat="1" ht="15" customHeight="1">
      <x:c r="A1623" s="71" t="n">
        <x:v>45818</x:v>
      </x:c>
      <x:c r="B1623" s="72" t="n">
        <x:v>14.75</x:v>
      </x:c>
    </x:row>
    <x:row r="1624" s="43" customFormat="1" ht="15" customHeight="1">
      <x:c r="A1624" s="69" t="n">
        <x:v>45819</x:v>
      </x:c>
      <x:c r="B1624" s="70" t="n">
        <x:v>14.75</x:v>
      </x:c>
    </x:row>
    <x:row r="1625" s="43" customFormat="1" ht="15" customHeight="1">
      <x:c r="A1625" s="71" t="n">
        <x:v>45820</x:v>
      </x:c>
      <x:c r="B1625" s="72" t="n">
        <x:v>14.75</x:v>
      </x:c>
    </x:row>
    <x:row r="1626" s="43" customFormat="1" ht="15" customHeight="1">
      <x:c r="A1626" s="69" t="n">
        <x:v>45821</x:v>
      </x:c>
      <x:c r="B1626" s="70" t="n">
        <x:v>14.75</x:v>
      </x:c>
    </x:row>
    <x:row r="1627" s="43" customFormat="1" ht="15" customHeight="1">
      <x:c r="A1627" s="71" t="n">
        <x:v>45822</x:v>
      </x:c>
      <x:c r="B1627" s="72" t="n">
        <x:v>14.75</x:v>
      </x:c>
    </x:row>
    <x:row r="1628" s="43" customFormat="1" ht="15" customHeight="1">
      <x:c r="A1628" s="69" t="n">
        <x:v>45823</x:v>
      </x:c>
      <x:c r="B1628" s="70" t="n">
        <x:v>14.75</x:v>
      </x:c>
    </x:row>
    <x:row r="1629" s="43" customFormat="1" ht="15" customHeight="1">
      <x:c r="A1629" s="71" t="n">
        <x:v>45824</x:v>
      </x:c>
      <x:c r="B1629" s="72" t="n">
        <x:v>14.75</x:v>
      </x:c>
    </x:row>
    <x:row r="1630" s="43" customFormat="1" ht="15" customHeight="1">
      <x:c r="A1630" s="69" t="n">
        <x:v>45825</x:v>
      </x:c>
      <x:c r="B1630" s="70" t="n">
        <x:v>14.75</x:v>
      </x:c>
    </x:row>
    <x:row r="1631" s="43" customFormat="1" ht="15" customHeight="1">
      <x:c r="A1631" s="71" t="n">
        <x:v>45826</x:v>
      </x:c>
      <x:c r="B1631" s="72" t="n">
        <x:v>14.75</x:v>
      </x:c>
    </x:row>
    <x:row r="1632" s="43" customFormat="1" ht="15" customHeight="1">
      <x:c r="A1632" s="69" t="n">
        <x:v>45827</x:v>
      </x:c>
      <x:c r="B1632" s="70" t="n">
        <x:v>15</x:v>
      </x:c>
    </x:row>
    <x:row r="1633" s="43" customFormat="1" ht="15" customHeight="1">
      <x:c r="A1633" s="71" t="n">
        <x:v>45828</x:v>
      </x:c>
      <x:c r="B1633" s="72" t="n">
        <x:v>15</x:v>
      </x:c>
    </x:row>
    <x:row r="1634" s="43" customFormat="1" ht="15" customHeight="1">
      <x:c r="A1634" s="69" t="n">
        <x:v>45829</x:v>
      </x:c>
      <x:c r="B1634" s="70" t="n">
        <x:v>15</x:v>
      </x:c>
    </x:row>
    <x:row r="1635" s="43" customFormat="1" ht="15" customHeight="1">
      <x:c r="A1635" s="71" t="n">
        <x:v>45830</x:v>
      </x:c>
      <x:c r="B1635" s="72" t="n">
        <x:v>15</x:v>
      </x:c>
    </x:row>
    <x:row r="1636" s="43" customFormat="1" ht="15" customHeight="1">
      <x:c r="A1636" s="69" t="n">
        <x:v>45831</x:v>
      </x:c>
      <x:c r="B1636" s="70" t="n">
        <x:v>15</x:v>
      </x:c>
    </x:row>
    <x:row r="1637" s="43" customFormat="1" ht="15" customHeight="1">
      <x:c r="A1637" s="71" t="n">
        <x:v>45832</x:v>
      </x:c>
      <x:c r="B1637" s="72" t="n">
        <x:v>15</x:v>
      </x:c>
    </x:row>
    <x:row r="1638" s="43" customFormat="1" ht="15" customHeight="1">
      <x:c r="A1638" s="69" t="n">
        <x:v>45833</x:v>
      </x:c>
      <x:c r="B1638" s="70" t="n">
        <x:v>15</x:v>
      </x:c>
    </x:row>
    <x:row r="1639" s="43" customFormat="1" ht="15" customHeight="1">
      <x:c r="A1639" s="71" t="n">
        <x:v>45834</x:v>
      </x:c>
      <x:c r="B1639" s="72" t="n">
        <x:v>15</x:v>
      </x:c>
    </x:row>
    <x:row r="1640" s="43" customFormat="1" ht="15" customHeight="1">
      <x:c r="A1640" s="69" t="n">
        <x:v>45835</x:v>
      </x:c>
      <x:c r="B1640" s="70" t="n">
        <x:v>15</x:v>
      </x:c>
    </x:row>
    <x:row r="1641" s="43" customFormat="1" ht="15" customHeight="1">
      <x:c r="A1641" s="71" t="n">
        <x:v>45836</x:v>
      </x:c>
      <x:c r="B1641" s="72" t="n">
        <x:v>15</x:v>
      </x:c>
    </x:row>
    <x:row r="1642" s="43" customFormat="1" ht="15" customHeight="1">
      <x:c r="A1642" s="69" t="n">
        <x:v>45837</x:v>
      </x:c>
      <x:c r="B1642" s="70" t="n">
        <x:v>15</x:v>
      </x:c>
    </x:row>
    <x:row r="1643" s="43" customFormat="1" ht="15" customHeight="1">
      <x:c r="A1643" s="71" t="n">
        <x:v>45838</x:v>
      </x:c>
      <x:c r="B1643" s="72" t="n">
        <x:v>15</x:v>
      </x:c>
    </x:row>
    <x:row r="1644" s="43" customFormat="1" ht="15" customHeight="1">
      <x:c r="A1644" s="69" t="n">
        <x:v>45839</x:v>
      </x:c>
      <x:c r="B1644" s="70" t="n">
        <x:v>15</x:v>
      </x:c>
    </x:row>
    <x:row r="1645" s="43" customFormat="1" ht="15" customHeight="1">
      <x:c r="A1645" s="71" t="n">
        <x:v>45840</x:v>
      </x:c>
      <x:c r="B1645" s="72" t="n">
        <x:v>15</x:v>
      </x:c>
    </x:row>
    <x:row r="1646" s="43" customFormat="1" ht="15" customHeight="1">
      <x:c r="A1646" s="69" t="n">
        <x:v>45841</x:v>
      </x:c>
      <x:c r="B1646" s="70" t="n">
        <x:v>15</x:v>
      </x:c>
    </x:row>
    <x:row r="1647" s="43" customFormat="1" ht="15" customHeight="1">
      <x:c r="A1647" s="71" t="n">
        <x:v>45842</x:v>
      </x:c>
      <x:c r="B1647" s="72" t="n">
        <x:v>15</x:v>
      </x:c>
    </x:row>
    <x:row r="1648" s="43" customFormat="1" ht="15" customHeight="1">
      <x:c r="A1648" s="69" t="n">
        <x:v>45843</x:v>
      </x:c>
      <x:c r="B1648" s="70" t="n">
        <x:v>15</x:v>
      </x:c>
    </x:row>
    <x:row r="1649" s="43" customFormat="1" ht="15" customHeight="1">
      <x:c r="A1649" s="71" t="n">
        <x:v>45844</x:v>
      </x:c>
      <x:c r="B1649" s="72" t="n">
        <x:v>15</x:v>
      </x:c>
    </x:row>
    <x:row r="1650" s="43" customFormat="1" ht="15" customHeight="1">
      <x:c r="A1650" s="69" t="n">
        <x:v>45845</x:v>
      </x:c>
      <x:c r="B1650" s="70" t="n">
        <x:v>15</x:v>
      </x:c>
    </x:row>
    <x:row r="1651" s="43" customFormat="1" ht="15" customHeight="1">
      <x:c r="A1651" s="71" t="n">
        <x:v>45846</x:v>
      </x:c>
      <x:c r="B1651" s="72" t="n">
        <x:v>15</x:v>
      </x:c>
    </x:row>
    <x:row r="1652" s="43" customFormat="1" ht="15" customHeight="1">
      <x:c r="A1652" s="69" t="n">
        <x:v>45847</x:v>
      </x:c>
      <x:c r="B1652" s="70" t="n">
        <x:v>15</x:v>
      </x:c>
    </x:row>
    <x:row r="1653" s="43" customFormat="1" ht="15" customHeight="1">
      <x:c r="A1653" s="71" t="n">
        <x:v>45848</x:v>
      </x:c>
      <x:c r="B1653" s="72" t="n">
        <x:v>15</x:v>
      </x:c>
    </x:row>
    <x:row r="1654" s="43" customFormat="1" ht="15" customHeight="1">
      <x:c r="A1654" s="69" t="n">
        <x:v>45849</x:v>
      </x:c>
      <x:c r="B1654" s="70" t="n">
        <x:v>15</x:v>
      </x:c>
    </x:row>
    <x:row r="1655" s="43" customFormat="1" ht="15" customHeight="1">
      <x:c r="A1655" s="71" t="n">
        <x:v>45850</x:v>
      </x:c>
      <x:c r="B1655" s="72" t="n">
        <x:v>15</x:v>
      </x:c>
    </x:row>
    <x:row r="1656" s="43" customFormat="1" ht="15" customHeight="1">
      <x:c r="A1656" s="69" t="n">
        <x:v>45851</x:v>
      </x:c>
      <x:c r="B1656" s="70" t="n">
        <x:v>15</x:v>
      </x:c>
    </x:row>
    <x:row r="1657" s="43" customFormat="1" ht="15" customHeight="1">
      <x:c r="A1657" s="71" t="n">
        <x:v>45852</x:v>
      </x:c>
      <x:c r="B1657" s="72" t="n">
        <x:v>15</x:v>
      </x:c>
    </x:row>
    <x:row r="1658" s="43" customFormat="1" ht="15" customHeight="1">
      <x:c r="A1658" s="69" t="n">
        <x:v>45853</x:v>
      </x:c>
      <x:c r="B1658" s="70" t="n">
        <x:v>15</x:v>
      </x:c>
    </x:row>
    <x:row r="1659" s="43" customFormat="1" ht="15" customHeight="1">
      <x:c r="A1659" s="71" t="n">
        <x:v>45854</x:v>
      </x:c>
      <x:c r="B1659" s="72" t="n">
        <x:v>15</x:v>
      </x:c>
    </x:row>
    <x:row r="1660" s="43" customFormat="1" ht="15" customHeight="1">
      <x:c r="A1660" s="69" t="n">
        <x:v>45855</x:v>
      </x:c>
      <x:c r="B1660" s="70" t="n">
        <x:v>15</x:v>
      </x:c>
    </x:row>
    <x:row r="1661" s="43" customFormat="1" ht="15" customHeight="1">
      <x:c r="A1661" s="71" t="n">
        <x:v>45856</x:v>
      </x:c>
      <x:c r="B1661" s="72" t="n">
        <x:v>15</x:v>
      </x:c>
    </x:row>
    <x:row r="1662" s="43" customFormat="1" ht="15" customHeight="1">
      <x:c r="A1662" s="69" t="n">
        <x:v>45857</x:v>
      </x:c>
      <x:c r="B1662" s="70" t="n">
        <x:v>15</x:v>
      </x:c>
    </x:row>
    <x:row r="1663" s="43" customFormat="1" ht="15" customHeight="1">
      <x:c r="A1663" s="71" t="n">
        <x:v>45858</x:v>
      </x:c>
      <x:c r="B1663" s="72" t="n">
        <x:v>15</x:v>
      </x:c>
    </x:row>
    <x:row r="1664" s="43" customFormat="1" ht="15" customHeight="1">
      <x:c r="A1664" s="69" t="n">
        <x:v>45859</x:v>
      </x:c>
      <x:c r="B1664" s="70" t="n">
        <x:v>15</x:v>
      </x:c>
    </x:row>
    <x:row r="1665" s="43" customFormat="1" ht="15" customHeight="1">
      <x:c r="A1665" s="71" t="n">
        <x:v>45860</x:v>
      </x:c>
      <x:c r="B1665" s="72" t="n">
        <x:v>15</x:v>
      </x:c>
    </x:row>
    <x:row r="1666" s="43" customFormat="1" ht="15" customHeight="1">
      <x:c r="A1666" s="69" t="n">
        <x:v>45861</x:v>
      </x:c>
      <x:c r="B1666" s="70" t="n">
        <x:v>15</x:v>
      </x:c>
    </x:row>
    <x:row r="1667" s="43" customFormat="1" ht="15" customHeight="1">
      <x:c r="A1667" s="71" t="n">
        <x:v>45862</x:v>
      </x:c>
      <x:c r="B1667" s="72" t="n">
        <x:v>15</x:v>
      </x:c>
    </x:row>
    <x:row r="1668" s="43" customFormat="1" ht="15" customHeight="1">
      <x:c r="A1668" s="69" t="n">
        <x:v>45863</x:v>
      </x:c>
      <x:c r="B1668" s="70" t="n">
        <x:v>15</x:v>
      </x:c>
    </x:row>
    <x:row r="1669" s="43" customFormat="1" ht="15" customHeight="1">
      <x:c r="A1669" s="71" t="n">
        <x:v>45864</x:v>
      </x:c>
      <x:c r="B1669" s="72" t="n">
        <x:v>15</x:v>
      </x:c>
    </x:row>
    <x:row r="1670" s="43" customFormat="1" ht="15" customHeight="1">
      <x:c r="A1670" s="69" t="n">
        <x:v>45865</x:v>
      </x:c>
      <x:c r="B1670" s="70" t="n">
        <x:v>15</x:v>
      </x:c>
    </x:row>
    <x:row r="1671" s="43" customFormat="1" ht="15" customHeight="1">
      <x:c r="A1671" s="71" t="n">
        <x:v>45866</x:v>
      </x:c>
      <x:c r="B1671" s="72" t="n">
        <x:v>15</x:v>
      </x:c>
    </x:row>
    <x:row r="1672" s="43" customFormat="1" ht="15" customHeight="1">
      <x:c r="A1672" s="69" t="n">
        <x:v>45867</x:v>
      </x:c>
      <x:c r="B1672" s="70" t="n">
        <x:v>15</x:v>
      </x:c>
    </x:row>
    <x:row r="1673" s="43" customFormat="1" ht="15" customHeight="1">
      <x:c r="A1673" s="71" t="n">
        <x:v>45868</x:v>
      </x:c>
      <x:c r="B1673" s="72" t="n">
        <x:v>15</x:v>
      </x:c>
    </x:row>
    <x:row r="1674" s="43" customFormat="1" ht="15" customHeight="1">
      <x:c r="A1674" s="69" t="n">
        <x:v>45869</x:v>
      </x:c>
      <x:c r="B1674" s="70" t="n">
        <x:v>15</x:v>
      </x:c>
    </x:row>
    <x:row r="1675" s="43" customFormat="1" ht="15" customHeight="1">
      <x:c r="A1675" s="71" t="n">
        <x:v>45870</x:v>
      </x:c>
      <x:c r="B1675" s="72" t="n">
        <x:v>15</x:v>
      </x:c>
    </x:row>
    <x:row r="1676" s="43" customFormat="1" ht="15" customHeight="1">
      <x:c r="A1676" s="69" t="n">
        <x:v>45871</x:v>
      </x:c>
      <x:c r="B1676" s="70" t="n">
        <x:v>15</x:v>
      </x:c>
    </x:row>
    <x:row r="1677" s="43" customFormat="1" ht="15" customHeight="1">
      <x:c r="A1677" s="71" t="n">
        <x:v>45872</x:v>
      </x:c>
      <x:c r="B1677" s="72" t="n">
        <x:v>15</x:v>
      </x:c>
    </x:row>
    <x:row r="1678" s="43" customFormat="1" ht="15" customHeight="1">
      <x:c r="A1678" s="69" t="n">
        <x:v>45873</x:v>
      </x:c>
      <x:c r="B1678" s="70" t="n">
        <x:v>15</x:v>
      </x:c>
    </x:row>
    <x:row r="1679" s="43" customFormat="1" ht="15" customHeight="1">
      <x:c r="A1679" s="71" t="n">
        <x:v>45874</x:v>
      </x:c>
      <x:c r="B1679" s="72" t="n">
        <x:v>15</x:v>
      </x:c>
    </x:row>
    <x:row r="1680" s="43" customFormat="1" ht="15" customHeight="1">
      <x:c r="A1680" s="69" t="n">
        <x:v>45875</x:v>
      </x:c>
      <x:c r="B1680" s="70" t="n">
        <x:v>15</x:v>
      </x:c>
    </x:row>
    <x:row r="1681" s="43" customFormat="1" ht="15" customHeight="1">
      <x:c r="A1681" s="71" t="n">
        <x:v>45876</x:v>
      </x:c>
      <x:c r="B1681" s="72" t="n">
        <x:v>15</x:v>
      </x:c>
    </x:row>
    <x:row r="1682" s="43" customFormat="1" ht="15" customHeight="1">
      <x:c r="A1682" s="69" t="n">
        <x:v>45877</x:v>
      </x:c>
      <x:c r="B1682" s="70" t="n">
        <x:v>15</x:v>
      </x:c>
    </x:row>
    <x:row r="1683" s="43" customFormat="1" ht="15" customHeight="1">
      <x:c r="A1683" s="71" t="n">
        <x:v>45878</x:v>
      </x:c>
      <x:c r="B1683" s="72" t="n">
        <x:v>15</x:v>
      </x:c>
    </x:row>
    <x:row r="1684" s="43" customFormat="1" ht="15" customHeight="1">
      <x:c r="A1684" s="69" t="n">
        <x:v>45879</x:v>
      </x:c>
      <x:c r="B1684" s="70" t="n">
        <x:v>15</x:v>
      </x:c>
    </x:row>
    <x:row r="1685" s="43" customFormat="1" ht="15" customHeight="1">
      <x:c r="A1685" s="71" t="n">
        <x:v>45880</x:v>
      </x:c>
      <x:c r="B1685" s="72" t="n">
        <x:v>15</x:v>
      </x:c>
    </x:row>
    <x:row r="1686" s="43" customFormat="1" ht="15" customHeight="1">
      <x:c r="A1686" s="69" t="n">
        <x:v>45881</x:v>
      </x:c>
      <x:c r="B1686" s="70" t="n">
        <x:v>15</x:v>
      </x:c>
    </x:row>
    <x:row r="1687" s="43" customFormat="1" ht="15" customHeight="1">
      <x:c r="A1687" s="71" t="n">
        <x:v>45882</x:v>
      </x:c>
      <x:c r="B1687" s="72" t="n">
        <x:v>15</x:v>
      </x:c>
    </x:row>
    <x:row r="1688" s="43" customFormat="1" ht="15" customHeight="1">
      <x:c r="A1688" s="69" t="n">
        <x:v>45883</x:v>
      </x:c>
      <x:c r="B1688" s="70" t="n">
        <x:v>15</x:v>
      </x:c>
    </x:row>
    <x:row r="1689" s="43" customFormat="1" ht="15" customHeight="1">
      <x:c r="A1689" s="71" t="n">
        <x:v>45884</x:v>
      </x:c>
      <x:c r="B1689" s="72" t="n">
        <x:v>15</x:v>
      </x:c>
    </x:row>
    <x:row r="1690" s="43" customFormat="1" ht="15" customHeight="1">
      <x:c r="A1690" s="69" t="n">
        <x:v>45885</x:v>
      </x:c>
      <x:c r="B1690" s="70" t="n">
        <x:v>15</x:v>
      </x:c>
    </x:row>
    <x:row r="1691" s="43" customFormat="1" ht="15" customHeight="1">
      <x:c r="A1691" s="71" t="n">
        <x:v>45886</x:v>
      </x:c>
      <x:c r="B1691" s="72" t="n">
        <x:v>15</x:v>
      </x:c>
    </x:row>
    <x:row r="1692" s="43" customFormat="1" ht="15" customHeight="1">
      <x:c r="A1692" s="69" t="n">
        <x:v>45887</x:v>
      </x:c>
      <x:c r="B1692" s="70" t="n">
        <x:v>15</x:v>
      </x:c>
    </x:row>
    <x:row r="1693" s="43" customFormat="1" ht="15" customHeight="1">
      <x:c r="A1693" s="71" t="n">
        <x:v>45888</x:v>
      </x:c>
      <x:c r="B1693" s="72" t="n">
        <x:v>15</x:v>
      </x:c>
    </x:row>
    <x:row r="1694" s="43" customFormat="1" ht="15" customHeight="1">
      <x:c r="A1694" s="69" t="n">
        <x:v>45889</x:v>
      </x:c>
      <x:c r="B1694" s="70" t="n">
        <x:v>15</x:v>
      </x:c>
    </x:row>
    <x:row r="1695" s="43" customFormat="1" ht="15" customHeight="1">
      <x:c r="A1695" s="71" t="n">
        <x:v>45890</x:v>
      </x:c>
      <x:c r="B1695" s="72" t="n">
        <x:v>15</x:v>
      </x:c>
    </x:row>
    <x:row r="1696" s="43" customFormat="1" ht="15" customHeight="1">
      <x:c r="A1696" s="69" t="n">
        <x:v>45891</x:v>
      </x:c>
      <x:c r="B1696" s="70" t="n">
        <x:v>15</x:v>
      </x:c>
    </x:row>
    <x:row r="1697" s="43" customFormat="1" ht="15" customHeight="1">
      <x:c r="A1697" s="71" t="n">
        <x:v>45892</x:v>
      </x:c>
      <x:c r="B1697" s="72" t="n">
        <x:v>15</x:v>
      </x:c>
    </x:row>
    <x:row r="1698" s="43" customFormat="1" ht="15" customHeight="1">
      <x:c r="A1698" s="69" t="n">
        <x:v>45893</x:v>
      </x:c>
      <x:c r="B1698" s="70" t="n">
        <x:v>15</x:v>
      </x:c>
    </x:row>
    <x:row r="1699" s="43" customFormat="1" ht="15" customHeight="1">
      <x:c r="A1699" s="71" t="n">
        <x:v>45894</x:v>
      </x:c>
      <x:c r="B1699" s="72" t="n">
        <x:v>15</x:v>
      </x:c>
    </x:row>
    <x:row r="1700" s="43" customFormat="1" ht="15" customHeight="1">
      <x:c r="A1700" s="69" t="n">
        <x:v>45895</x:v>
      </x:c>
      <x:c r="B1700" s="70" t="n">
        <x:v>15</x:v>
      </x:c>
    </x:row>
    <x:row r="1701" s="43" customFormat="1" ht="15" customHeight="1">
      <x:c r="A1701" s="71" t="n">
        <x:v>45896</x:v>
      </x:c>
      <x:c r="B1701" s="72" t="n">
        <x:v>15</x:v>
      </x:c>
    </x:row>
    <x:row r="1702" s="43" customFormat="1" ht="15" customHeight="1">
      <x:c r="A1702" s="69" t="n">
        <x:v>45897</x:v>
      </x:c>
      <x:c r="B1702" s="70" t="n">
        <x:v>15</x:v>
      </x:c>
    </x:row>
    <x:row r="1703" s="43" customFormat="1" ht="15" customHeight="1">
      <x:c r="A1703" s="71" t="n">
        <x:v>45898</x:v>
      </x:c>
      <x:c r="B1703" s="72" t="n">
        <x:v>15</x:v>
      </x:c>
    </x:row>
    <x:row r="1704" s="43" customFormat="1" ht="15" customHeight="1">
      <x:c r="A1704" s="69" t="n">
        <x:v>45899</x:v>
      </x:c>
      <x:c r="B1704" s="70" t="n">
        <x:v>15</x:v>
      </x:c>
    </x:row>
    <x:row r="1705" s="43" customFormat="1" ht="15" customHeight="1">
      <x:c r="A1705" s="71" t="n">
        <x:v>45900</x:v>
      </x:c>
      <x:c r="B1705" s="72" t="n">
        <x:v>15</x:v>
      </x:c>
    </x:row>
    <x:row r="1706" s="43" customFormat="1" ht="15" customHeight="1">
      <x:c r="A1706" s="69" t="n">
        <x:v>45901</x:v>
      </x:c>
      <x:c r="B1706" s="70" t="n">
        <x:v>15</x:v>
      </x:c>
    </x:row>
    <x:row r="1707" s="43" customFormat="1" ht="15" customHeight="1">
      <x:c r="A1707" s="71" t="n">
        <x:v>45902</x:v>
      </x:c>
      <x:c r="B1707" s="72" t="n">
        <x:v>15</x:v>
      </x:c>
    </x:row>
    <x:row r="1708" s="43" customFormat="1" ht="15" customHeight="1">
      <x:c r="A1708" s="69" t="n">
        <x:v>45903</x:v>
      </x:c>
      <x:c r="B1708" s="70" t="n">
        <x:v>15</x:v>
      </x:c>
    </x:row>
    <x:row r="1709" s="43" customFormat="1" ht="15" customHeight="1">
      <x:c r="A1709" s="71" t="n">
        <x:v>45904</x:v>
      </x:c>
      <x:c r="B1709" s="72" t="n">
        <x:v>15</x:v>
      </x:c>
    </x:row>
    <x:row r="1710" s="43" customFormat="1" ht="15" customHeight="1">
      <x:c r="A1710" s="69" t="n">
        <x:v>45905</x:v>
      </x:c>
      <x:c r="B1710" s="70" t="n">
        <x:v>15</x:v>
      </x:c>
    </x:row>
    <x:row r="1711" s="43" customFormat="1" ht="15" customHeight="1">
      <x:c r="A1711" s="71" t="n">
        <x:v>45906</x:v>
      </x:c>
      <x:c r="B1711" s="72" t="n">
        <x:v>15</x:v>
      </x:c>
    </x:row>
    <x:row r="1712" s="43" customFormat="1" ht="15" customHeight="1">
      <x:c r="A1712" s="69" t="n">
        <x:v>45907</x:v>
      </x:c>
      <x:c r="B1712" s="70" t="n">
        <x:v>15</x:v>
      </x:c>
    </x:row>
    <x:row r="1713" s="43" customFormat="1" ht="15" customHeight="1">
      <x:c r="A1713" s="71" t="n">
        <x:v>45908</x:v>
      </x:c>
      <x:c r="B1713" s="72" t="n">
        <x:v>15</x:v>
      </x:c>
    </x:row>
    <x:row r="1714" s="43" customFormat="1" ht="15" customHeight="1">
      <x:c r="A1714" s="69" t="n">
        <x:v>45909</x:v>
      </x:c>
      <x:c r="B1714" s="70" t="n">
        <x:v>15</x:v>
      </x:c>
    </x:row>
    <x:row r="1715" s="43" customFormat="1" ht="15" customHeight="1">
      <x:c r="A1715" s="71" t="n">
        <x:v>45910</x:v>
      </x:c>
      <x:c r="B1715" s="72" t="n">
        <x:v>15</x:v>
      </x:c>
    </x:row>
    <x:row r="1716" s="43" customFormat="1" ht="15" customHeight="1">
      <x:c r="A1716" s="69" t="n">
        <x:v>45911</x:v>
      </x:c>
      <x:c r="B1716" s="70" t="n">
        <x:v>15</x:v>
      </x:c>
    </x:row>
    <x:row r="1717" s="43" customFormat="1" ht="15" customHeight="1">
      <x:c r="A1717" s="71" t="n">
        <x:v>45912</x:v>
      </x:c>
      <x:c r="B1717" s="72" t="n">
        <x:v>15</x:v>
      </x:c>
    </x:row>
    <x:row r="1718" s="43" customFormat="1" ht="15" customHeight="1">
      <x:c r="A1718" s="69" t="n">
        <x:v>45913</x:v>
      </x:c>
      <x:c r="B1718" s="70" t="n">
        <x:v>15</x:v>
      </x:c>
    </x:row>
    <x:row r="1719" s="43" customFormat="1" ht="15" customHeight="1">
      <x:c r="A1719" s="71" t="n">
        <x:v>45914</x:v>
      </x:c>
      <x:c r="B1719" s="72" t="n">
        <x:v>15</x:v>
      </x:c>
    </x:row>
    <x:row r="1720" s="43" customFormat="1" ht="15" customHeight="1">
      <x:c r="A1720" s="69" t="n">
        <x:v>45915</x:v>
      </x:c>
      <x:c r="B1720" s="70" t="n">
        <x:v>15</x:v>
      </x:c>
    </x:row>
    <x:row r="1721" s="43" customFormat="1" ht="15" customHeight="1">
      <x:c r="A1721" s="71" t="n">
        <x:v>45916</x:v>
      </x:c>
      <x:c r="B1721" s="72" t="n">
        <x:v>15</x:v>
      </x:c>
    </x:row>
    <x:row r="1722" s="43" customFormat="1" ht="15" customHeight="1">
      <x:c r="A1722" s="69" t="n">
        <x:v>45917</x:v>
      </x:c>
      <x:c r="B1722" s="70" t="n">
        <x:v>15</x:v>
      </x:c>
    </x:row>
    <x:row r="1723" s="43" customFormat="1" ht="15" customHeight="1">
      <x:c r="A1723" s="71" t="n">
        <x:v>45918</x:v>
      </x:c>
      <x:c r="B1723" s="72" t="n">
        <x:v>15</x:v>
      </x:c>
    </x:row>
    <x:row r="1724" s="43" customFormat="1" ht="15" customHeight="1">
      <x:c r="A1724" s="69" t="n">
        <x:v>45919</x:v>
      </x:c>
      <x:c r="B1724" s="70" t="n">
        <x:v>15</x:v>
      </x:c>
    </x:row>
    <x:row r="1725" s="43" customFormat="1" ht="15" customHeight="1">
      <x:c r="A1725" s="71" t="n">
        <x:v>45920</x:v>
      </x:c>
      <x:c r="B1725" s="72" t="n">
        <x:v>15</x:v>
      </x:c>
    </x:row>
    <x:row r="1726" s="43" customFormat="1" ht="15" customHeight="1">
      <x:c r="A1726" s="69" t="n">
        <x:v>45921</x:v>
      </x:c>
      <x:c r="B1726" s="70" t="n">
        <x:v>15</x:v>
      </x:c>
    </x:row>
    <x:row r="1727" s="43" customFormat="1" ht="15" customHeight="1">
      <x:c r="A1727" s="71" t="n">
        <x:v>45922</x:v>
      </x:c>
      <x:c r="B1727" s="72" t="n">
        <x:v>15</x:v>
      </x:c>
    </x:row>
    <x:row r="1728" s="43" customFormat="1" ht="15" customHeight="1">
      <x:c r="A1728" s="69" t="n">
        <x:v>45923</x:v>
      </x:c>
      <x:c r="B1728" s="70" t="n">
        <x:v>15</x:v>
      </x:c>
    </x:row>
    <x:row r="1729" s="43" customFormat="1" ht="15" customHeight="1">
      <x:c r="A1729" s="71" t="n">
        <x:v>45924</x:v>
      </x:c>
      <x:c r="B1729" s="72" t="n">
        <x:v>15</x:v>
      </x:c>
    </x:row>
    <x:row r="1730" s="43" customFormat="1" ht="15" customHeight="1">
      <x:c r="A1730" s="69" t="n">
        <x:v>45925</x:v>
      </x:c>
      <x:c r="B1730" s="70" t="n">
        <x:v>15</x:v>
      </x:c>
    </x:row>
    <x:row r="1731" s="43" customFormat="1" ht="15" customHeight="1">
      <x:c r="A1731" s="71" t="n">
        <x:v>45926</x:v>
      </x:c>
      <x:c r="B1731" s="72" t="n">
        <x:v>15</x:v>
      </x:c>
    </x:row>
    <x:row r="1732" s="43" customFormat="1" ht="15" customHeight="1">
      <x:c r="A1732" s="69" t="n">
        <x:v>45927</x:v>
      </x:c>
      <x:c r="B1732" s="70" t="n">
        <x:v>15</x:v>
      </x:c>
    </x:row>
    <x:row r="1733" s="43" customFormat="1" ht="15" customHeight="1">
      <x:c r="A1733" s="71" t="n">
        <x:v>45928</x:v>
      </x:c>
      <x:c r="B1733" s="72" t="n">
        <x:v>15</x:v>
      </x:c>
    </x:row>
    <x:row r="1734" s="43" customFormat="1" ht="15" customHeight="1">
      <x:c r="A1734" s="69" t="n">
        <x:v>45929</x:v>
      </x:c>
      <x:c r="B1734" s="70" t="n">
        <x:v>15</x:v>
      </x:c>
    </x:row>
    <x:row r="1735" s="43" customFormat="1" ht="15" customHeight="1">
      <x:c r="A1735" s="71" t="n">
        <x:v>45930</x:v>
      </x:c>
      <x:c r="B1735" s="72" t="n">
        <x:v>15</x:v>
      </x:c>
    </x:row>
    <x:row r="1736" s="43" customFormat="1" ht="15" customHeight="1">
      <x:c r="A1736" s="69" t="n">
        <x:v>45931</x:v>
      </x:c>
      <x:c r="B1736" s="70" t="n">
        <x:v>15</x:v>
      </x:c>
    </x:row>
    <x:row r="1737" s="43" customFormat="1" ht="15" customHeight="1">
      <x:c r="A1737" s="71" t="n">
        <x:v>45932</x:v>
      </x:c>
      <x:c r="B1737" s="72" t="n">
        <x:v>15</x:v>
      </x:c>
    </x:row>
    <x:row r="1738" s="43" customFormat="1" ht="15" customHeight="1">
      <x:c r="A1738" s="69" t="n">
        <x:v>45933</x:v>
      </x:c>
      <x:c r="B1738" s="70" t="n">
        <x:v>15</x:v>
      </x:c>
    </x:row>
    <x:row r="1739" s="43" customFormat="1" ht="15" customHeight="1">
      <x:c r="A1739" s="71" t="n">
        <x:v>45934</x:v>
      </x:c>
      <x:c r="B1739" s="72" t="n">
        <x:v>15</x:v>
      </x:c>
    </x:row>
    <x:row r="1740" s="43" customFormat="1" ht="15" customHeight="1">
      <x:c r="A1740" s="69" t="n">
        <x:v>45935</x:v>
      </x:c>
      <x:c r="B1740" s="70" t="n">
        <x:v>15</x:v>
      </x:c>
    </x:row>
    <x:row r="1741" s="43" customFormat="1" ht="15" customHeight="1">
      <x:c r="A1741" s="71" t="n">
        <x:v>45936</x:v>
      </x:c>
      <x:c r="B1741" s="72" t="n">
        <x:v>15</x:v>
      </x:c>
    </x:row>
    <x:row r="1742" s="43" customFormat="1" ht="15" customHeight="1">
      <x:c r="A1742" s="69" t="n">
        <x:v>45937</x:v>
      </x:c>
      <x:c r="B1742" s="70" t="n">
        <x:v>15</x:v>
      </x:c>
    </x:row>
    <x:row r="1743" s="43" customFormat="1" ht="15" customHeight="1">
      <x:c r="A1743" s="71" t="n">
        <x:v>45938</x:v>
      </x:c>
      <x:c r="B1743" s="72" t="n">
        <x:v>15</x:v>
      </x:c>
    </x:row>
    <x:row r="1744" s="43" customFormat="1" ht="15" customHeight="1">
      <x:c r="A1744" s="69" t="n">
        <x:v>45939</x:v>
      </x:c>
      <x:c r="B1744" s="70" t="n">
        <x:v>15</x:v>
      </x:c>
    </x:row>
    <x:row r="1745" s="43" customFormat="1" ht="15" customHeight="1">
      <x:c r="A1745" s="71" t="n">
        <x:v>45940</x:v>
      </x:c>
      <x:c r="B1745" s="72" t="n">
        <x:v>15</x:v>
      </x:c>
    </x:row>
    <x:row r="1746" s="43" customFormat="1" ht="15" customHeight="1">
      <x:c r="A1746" s="69" t="n">
        <x:v>45941</x:v>
      </x:c>
      <x:c r="B1746" s="70" t="n">
        <x:v>15</x:v>
      </x:c>
    </x:row>
    <x:row r="1747" s="43" customFormat="1" ht="15" customHeight="1">
      <x:c r="A1747" s="71" t="n">
        <x:v>45942</x:v>
      </x:c>
      <x:c r="B1747" s="72" t="n">
        <x:v>15</x:v>
      </x:c>
    </x:row>
    <x:row r="1748" s="43" customFormat="1" ht="15" customHeight="1">
      <x:c r="A1748" s="69" t="n">
        <x:v>45943</x:v>
      </x:c>
      <x:c r="B1748" s="70" t="n">
        <x:v>15</x:v>
      </x:c>
    </x:row>
    <x:row r="1749" s="43" customFormat="1" ht="15" customHeight="1">
      <x:c r="A1749" s="71" t="n">
        <x:v>45944</x:v>
      </x:c>
      <x:c r="B1749" s="72" t="n">
        <x:v>15</x:v>
      </x:c>
    </x:row>
    <x:row r="1750" s="43" customFormat="1" ht="15" customHeight="1">
      <x:c r="A1750" s="69" t="n">
        <x:v>45945</x:v>
      </x:c>
      <x:c r="B1750" s="70" t="n">
        <x:v>15</x:v>
      </x:c>
    </x:row>
    <x:row r="1751" s="43" customFormat="1" ht="15" customHeight="1">
      <x:c r="A1751" s="71" t="n">
        <x:v>45946</x:v>
      </x:c>
      <x:c r="B1751" s="72" t="n">
        <x:v>15</x:v>
      </x:c>
    </x:row>
    <x:row r="1752" s="43" customFormat="1" ht="15" customHeight="1">
      <x:c r="A1752" s="69" t="n">
        <x:v>45947</x:v>
      </x:c>
      <x:c r="B1752" s="70" t="n">
        <x:v>15</x:v>
      </x:c>
    </x:row>
    <x:row r="1753" s="43" customFormat="1" ht="15" customHeight="1">
      <x:c r="A1753" s="71" t="n">
        <x:v>45948</x:v>
      </x:c>
      <x:c r="B1753" s="72" t="n">
        <x:v>15</x:v>
      </x:c>
    </x:row>
    <x:row r="1754" s="43" customFormat="1" ht="15" customHeight="1">
      <x:c r="A1754" s="69" t="n">
        <x:v>45949</x:v>
      </x:c>
      <x:c r="B1754" s="70" t="n">
        <x:v>15</x:v>
      </x:c>
    </x:row>
    <x:row r="1755" s="43" customFormat="1" ht="15" customHeight="1">
      <x:c r="A1755" s="71" t="n">
        <x:v>45950</x:v>
      </x:c>
      <x:c r="B1755" s="72" t="n">
        <x:v>15</x:v>
      </x:c>
    </x:row>
    <x:row r="1756" s="43" customFormat="1" ht="15" customHeight="1">
      <x:c r="A1756" s="69" t="n">
        <x:v>45951</x:v>
      </x:c>
      <x:c r="B1756" s="70" t="n">
        <x:v>15</x:v>
      </x:c>
    </x:row>
    <x:row r="1757" s="43" customFormat="1" ht="15" customHeight="1">
      <x:c r="A1757" s="71" t="n">
        <x:v>45952</x:v>
      </x:c>
      <x:c r="B1757" s="72" t="n">
        <x:v>15</x:v>
      </x:c>
    </x:row>
    <x:row r="1758" s="43" customFormat="1" ht="15" customHeight="1">
      <x:c r="A1758" s="69" t="n">
        <x:v>45953</x:v>
      </x:c>
      <x:c r="B1758" s="70" t="n">
        <x:v>15</x:v>
      </x:c>
    </x:row>
    <x:row r="1759" s="43" customFormat="1" ht="15" customHeight="1">
      <x:c r="A1759" s="71" t="n">
        <x:v>45954</x:v>
      </x:c>
      <x:c r="B1759" s="72" t="n">
        <x:v>15</x:v>
      </x:c>
    </x:row>
    <x:row r="1760" s="43" customFormat="1" ht="15" customHeight="1">
      <x:c r="A1760" s="69" t="n">
        <x:v>45955</x:v>
      </x:c>
      <x:c r="B1760" s="70" t="n">
        <x:v>15</x:v>
      </x:c>
    </x:row>
    <x:row r="1761" s="43" customFormat="1" ht="15" customHeight="1">
      <x:c r="A1761" s="71" t="n">
        <x:v>45956</x:v>
      </x:c>
      <x:c r="B1761" s="72" t="n">
        <x:v>15</x:v>
      </x:c>
    </x:row>
    <x:row r="1762" s="43" customFormat="1" ht="15" customHeight="1">
      <x:c r="A1762" s="69" t="n">
        <x:v>45957</x:v>
      </x:c>
      <x:c r="B1762" s="70" t="n">
        <x:v>15</x:v>
      </x:c>
    </x:row>
    <x:row r="1763" s="43" customFormat="1" ht="15" customHeight="1">
      <x:c r="A1763" s="71" t="n">
        <x:v>45958</x:v>
      </x:c>
      <x:c r="B1763" s="72" t="n">
        <x:v>15</x:v>
      </x:c>
    </x:row>
    <x:row r="1764" s="43" customFormat="1" ht="15" customHeight="1">
      <x:c r="A1764" s="69" t="n">
        <x:v>45959</x:v>
      </x:c>
      <x:c r="B1764" s="70" t="n">
        <x:v>15</x:v>
      </x:c>
    </x:row>
    <x:row r="1765" s="43" customFormat="1" ht="15" customHeight="1">
      <x:c r="A1765" s="71" t="n">
        <x:v>45960</x:v>
      </x:c>
      <x:c r="B1765" s="72" t="n">
        <x:v>15</x:v>
      </x:c>
    </x:row>
    <x:row r="1766" s="43" customFormat="1" ht="15" customHeight="1">
      <x:c r="A1766" s="69" t="n">
        <x:v>45961</x:v>
      </x:c>
      <x:c r="B1766" s="70" t="n">
        <x:v>15</x:v>
      </x:c>
    </x:row>
    <x:row r="1767" s="43" customFormat="1" ht="15" customHeight="1">
      <x:c r="A1767" s="71" t="n">
        <x:v>45962</x:v>
      </x:c>
      <x:c r="B1767" s="72" t="n">
        <x:v>15</x:v>
      </x:c>
    </x:row>
    <x:row r="1768" s="43" customFormat="1" ht="15" customHeight="1">
      <x:c r="A1768" s="69" t="n">
        <x:v>45963</x:v>
      </x:c>
      <x:c r="B1768" s="70" t="n">
        <x:v>15</x:v>
      </x:c>
    </x:row>
    <x:row r="1769" s="43" customFormat="1" ht="15" customHeight="1">
      <x:c r="A1769" s="71" t="n">
        <x:v>45964</x:v>
      </x:c>
      <x:c r="B1769" s="72" t="n">
        <x:v>15</x:v>
      </x:c>
    </x:row>
    <x:row r="1770" s="43" customFormat="1" ht="15" customHeight="1">
      <x:c r="A1770" s="69" t="n">
        <x:v>45965</x:v>
      </x:c>
      <x:c r="B1770" s="70" t="n">
        <x:v>15</x:v>
      </x:c>
    </x:row>
    <x:row r="1771" s="43" customFormat="1" ht="15" customHeight="1">
      <x:c r="A1771" s="71" t="n">
        <x:v>45966</x:v>
      </x:c>
      <x:c r="B1771" s="72" t="n">
        <x:v>15</x:v>
      </x:c>
    </x:row>
    <x:row r="1772" s="43" customFormat="1" ht="15" customHeight="1">
      <x:c r="A1772" s="69" t="n">
        <x:v>45967</x:v>
      </x:c>
      <x:c r="B1772" s="70" t="n">
        <x:v>15</x:v>
      </x:c>
    </x:row>
    <x:row r="1773" s="43" customFormat="1" ht="15" customHeight="1">
      <x:c r="A1773" s="71" t="n">
        <x:v>45968</x:v>
      </x:c>
      <x:c r="B1773" s="72" t="n">
        <x:v>15</x:v>
      </x:c>
    </x:row>
    <x:row r="1774" s="43" customFormat="1" ht="15" customHeight="1">
      <x:c r="A1774" s="69" t="n">
        <x:v>45969</x:v>
      </x:c>
      <x:c r="B1774" s="70" t="n">
        <x:v>15</x:v>
      </x:c>
    </x:row>
    <x:row r="1775" s="43" customFormat="1" ht="15" customHeight="1">
      <x:c r="A1775" s="71" t="n">
        <x:v>45970</x:v>
      </x:c>
      <x:c r="B1775" s="72" t="n">
        <x:v>15</x:v>
      </x:c>
    </x:row>
    <x:row r="1776" s="43" customFormat="1" ht="15" customHeight="1">
      <x:c r="A1776" s="69" t="n">
        <x:v>45971</x:v>
      </x:c>
      <x:c r="B1776" s="70" t="n">
        <x:v>15</x:v>
      </x:c>
    </x:row>
    <x:row r="1777" s="43" customFormat="1" ht="15" customHeight="1">
      <x:c r="A1777" s="71" t="n">
        <x:v>45972</x:v>
      </x:c>
      <x:c r="B1777" s="72" t="n">
        <x:v>15</x:v>
      </x:c>
    </x:row>
    <x:row r="1778" s="43" customFormat="1" ht="15" customHeight="1">
      <x:c r="A1778" s="69" t="n">
        <x:v>45973</x:v>
      </x:c>
      <x:c r="B1778" s="70" t="n">
        <x:v>15</x:v>
      </x:c>
    </x:row>
    <x:row r="1779" s="43" customFormat="1" ht="15" customHeight="1">
      <x:c r="A1779" s="71" t="n">
        <x:v>45974</x:v>
      </x:c>
      <x:c r="B1779" s="72" t="n">
        <x:v>15</x:v>
      </x:c>
    </x:row>
    <x:row r="1780" s="43" customFormat="1" ht="15" customHeight="1">
      <x:c r="A1780" s="69" t="n">
        <x:v>45975</x:v>
      </x:c>
      <x:c r="B1780" s="70" t="n">
        <x:v>15</x:v>
      </x:c>
    </x:row>
    <x:row r="1781" s="43" customFormat="1" ht="15" customHeight="1">
      <x:c r="A1781" s="71" t="n">
        <x:v>45976</x:v>
      </x:c>
      <x:c r="B1781" s="72" t="n">
        <x:v>15</x:v>
      </x:c>
    </x:row>
    <x:row r="1782" s="43" customFormat="1" ht="15" customHeight="1">
      <x:c r="A1782" s="69" t="n">
        <x:v>45977</x:v>
      </x:c>
      <x:c r="B1782" s="70" t="n">
        <x:v>15</x:v>
      </x:c>
    </x:row>
    <x:row r="1783" s="43" customFormat="1" ht="15" customHeight="1">
      <x:c r="A1783" s="71" t="n">
        <x:v>45978</x:v>
      </x:c>
      <x:c r="B1783" s="72" t="n">
        <x:v>15</x:v>
      </x:c>
    </x:row>
    <x:row r="1784" s="43" customFormat="1" ht="15" customHeight="1">
      <x:c r="A1784" s="69" t="n">
        <x:v>45979</x:v>
      </x:c>
      <x:c r="B1784" s="70" t="n">
        <x:v>15</x:v>
      </x:c>
    </x:row>
    <x:row r="1785" s="43" customFormat="1" ht="15" customHeight="1">
      <x:c r="A1785" s="71" t="n">
        <x:v>45980</x:v>
      </x:c>
      <x:c r="B1785" s="72" t="n">
        <x:v>15</x:v>
      </x:c>
    </x:row>
    <x:row r="1786" s="43" customFormat="1" ht="15" customHeight="1">
      <x:c r="A1786" s="69" t="n">
        <x:v>45981</x:v>
      </x:c>
      <x:c r="B1786" s="70" t="n">
        <x:v>15</x:v>
      </x:c>
    </x:row>
    <x:row r="1787" s="43" customFormat="1" ht="15" customHeight="1">
      <x:c r="A1787" s="71" t="n">
        <x:v>45982</x:v>
      </x:c>
      <x:c r="B1787" s="72" t="n">
        <x:v>15</x:v>
      </x:c>
    </x:row>
    <x:row r="1788" s="43" customFormat="1" ht="15" customHeight="1">
      <x:c r="A1788" s="69" t="n">
        <x:v>45983</x:v>
      </x:c>
      <x:c r="B1788" s="70" t="n">
        <x:v>15</x:v>
      </x:c>
    </x:row>
    <x:row r="1789" s="43" customFormat="1" ht="15" customHeight="1">
      <x:c r="A1789" s="71" t="n">
        <x:v>45984</x:v>
      </x:c>
      <x:c r="B1789" s="72" t="n">
        <x:v>15</x:v>
      </x:c>
    </x:row>
    <x:row r="1790" s="43" customFormat="1" ht="15" customHeight="1">
      <x:c r="A1790" s="69" t="n">
        <x:v>45985</x:v>
      </x:c>
      <x:c r="B1790" s="70" t="n">
        <x:v>15</x:v>
      </x:c>
    </x:row>
    <x:row r="1791" s="43" customFormat="1" ht="15" customHeight="1">
      <x:c r="A1791" s="71" t="n">
        <x:v>45986</x:v>
      </x:c>
      <x:c r="B1791" s="72" t="n">
        <x:v>15</x:v>
      </x:c>
    </x:row>
    <x:row r="1792" s="43" customFormat="1" ht="15" customHeight="1">
      <x:c r="A1792" s="69" t="n">
        <x:v>45987</x:v>
      </x:c>
      <x:c r="B1792" s="70" t="n">
        <x:v>15</x:v>
      </x:c>
    </x:row>
    <x:row r="1793" s="43" customFormat="1" ht="15" customHeight="1">
      <x:c r="A1793" s="71" t="n">
        <x:v>45988</x:v>
      </x:c>
      <x:c r="B1793" s="72" t="n">
        <x:v>15</x:v>
      </x:c>
    </x:row>
    <x:row r="1794" s="43" customFormat="1" ht="15" customHeight="1">
      <x:c r="A1794" s="69" t="n">
        <x:v>45989</x:v>
      </x:c>
      <x:c r="B1794" s="70" t="n">
        <x:v>15</x:v>
      </x:c>
    </x:row>
    <x:row r="1795" s="43" customFormat="1" ht="15" customHeight="1">
      <x:c r="A1795" s="71" t="n">
        <x:v>45990</x:v>
      </x:c>
      <x:c r="B1795" s="72" t="n">
        <x:v>15</x:v>
      </x:c>
    </x:row>
    <x:row r="1796" s="43" customFormat="1" ht="15" customHeight="1">
      <x:c r="A1796" s="69" t="n">
        <x:v>45991</x:v>
      </x:c>
      <x:c r="B1796" s="70" t="n">
        <x:v>15</x:v>
      </x:c>
    </x:row>
    <x:row r="1797" s="43" customFormat="1" ht="15" customHeight="1">
      <x:c r="A1797" s="71" t="n">
        <x:v>45992</x:v>
      </x:c>
      <x:c r="B1797" s="72" t="n">
        <x:v>15</x:v>
      </x:c>
    </x:row>
    <x:row r="1798" s="43" customFormat="1" ht="15" customHeight="1">
      <x:c r="A1798" s="69" t="n">
        <x:v>45993</x:v>
      </x:c>
      <x:c r="B1798" s="70" t="n">
        <x:v>15</x:v>
      </x:c>
    </x:row>
    <x:row r="1799" s="43" customFormat="1" ht="15" customHeight="1">
      <x:c r="A1799" s="71" t="n">
        <x:v>45994</x:v>
      </x:c>
      <x:c r="B1799" s="72" t="n">
        <x:v>15</x:v>
      </x:c>
    </x:row>
    <x:row r="1800" s="43" customFormat="1" ht="15" customHeight="1">
      <x:c r="A1800" s="69" t="n">
        <x:v>45995</x:v>
      </x:c>
      <x:c r="B1800" s="70" t="n">
        <x:v>15</x:v>
      </x:c>
    </x:row>
    <x:row r="1801" s="43" customFormat="1" ht="15" customHeight="1">
      <x:c r="A1801" s="71" t="n">
        <x:v>45996</x:v>
      </x:c>
      <x:c r="B1801" s="72" t="n">
        <x:v>15</x:v>
      </x:c>
    </x:row>
    <x:row r="1802" s="43" customFormat="1" ht="15" customHeight="1">
      <x:c r="A1802" s="69" t="n">
        <x:v>45997</x:v>
      </x:c>
      <x:c r="B1802" s="70" t="n">
        <x:v>15</x:v>
      </x:c>
    </x:row>
    <x:row r="1803" s="43" customFormat="1" ht="15" customHeight="1">
      <x:c r="A1803" s="71" t="n">
        <x:v>45998</x:v>
      </x:c>
      <x:c r="B1803" s="72" t="n">
        <x:v>15</x:v>
      </x:c>
    </x:row>
    <x:row r="1804" s="43" customFormat="1" ht="15" customHeight="1">
      <x:c r="A1804" s="69" t="n">
        <x:v>45999</x:v>
      </x:c>
      <x:c r="B1804" s="70" t="n">
        <x:v>15</x:v>
      </x:c>
    </x:row>
    <x:row r="1805" s="43" customFormat="1" ht="15" customHeight="1">
      <x:c r="A1805" s="71" t="n">
        <x:v>46000</x:v>
      </x:c>
      <x:c r="B1805" s="72" t="n">
        <x:v>15</x:v>
      </x:c>
    </x:row>
    <x:row r="1806" s="43" customFormat="1" ht="15" customHeight="1">
      <x:c r="A1806" s="69" t="n">
        <x:v>46001</x:v>
      </x:c>
      <x:c r="B1806" s="70" t="n">
        <x:v>15</x:v>
      </x:c>
    </x:row>
    <x:row r="1807" s="43" customFormat="1" ht="15" customHeight="1">
      <x:c r="A1807" s="71" t="n">
        <x:v>46002</x:v>
      </x:c>
      <x:c r="B1807" s="72" t="n">
        <x:v>15</x:v>
      </x:c>
    </x:row>
    <x:row r="1808" s="43" customFormat="1" ht="15" customHeight="1">
      <x:c r="A1808" s="69" t="n">
        <x:v>46003</x:v>
      </x:c>
      <x:c r="B1808" s="70" t="n">
        <x:v>15</x:v>
      </x:c>
    </x:row>
    <x:row r="1809" s="43" customFormat="1" ht="15" customHeight="1">
      <x:c r="A1809" s="71" t="n">
        <x:v>46004</x:v>
      </x:c>
      <x:c r="B1809" s="72" t="n">
        <x:v>15</x:v>
      </x:c>
    </x:row>
    <x:row r="1810" s="43" customFormat="1" ht="15" customHeight="1">
      <x:c r="A1810" s="69" t="n">
        <x:v>46005</x:v>
      </x:c>
      <x:c r="B1810" s="70" t="n">
        <x:v>15</x:v>
      </x:c>
    </x:row>
    <x:row r="1811" s="43" customFormat="1" ht="15" customHeight="1">
      <x:c r="A1811" s="71" t="n">
        <x:v>46006</x:v>
      </x:c>
      <x:c r="B1811" s="72" t="n">
        <x:v>15</x:v>
      </x:c>
    </x:row>
    <x:row r="1812" s="43" customFormat="1" ht="15" customHeight="1">
      <x:c r="A1812" s="69" t="n">
        <x:v>46007</x:v>
      </x:c>
      <x:c r="B1812" s="70" t="n">
        <x:v>15</x:v>
      </x:c>
    </x:row>
    <x:row r="1813" s="43" customFormat="1" ht="15" customHeight="1">
      <x:c r="A1813" s="71" t="n">
        <x:v>46008</x:v>
      </x:c>
      <x:c r="B1813" s="72" t="n">
        <x:v>15</x:v>
      </x:c>
    </x:row>
    <x:row r="1814" s="43" customFormat="1" ht="15" customHeight="1">
      <x:c r="A1814" s="69" t="n">
        <x:v>46009</x:v>
      </x:c>
      <x:c r="B1814" s="70" t="n">
        <x:v>15</x:v>
      </x:c>
    </x:row>
    <x:row r="1815" s="43" customFormat="1" ht="15" customHeight="1">
      <x:c r="A1815" s="71" t="n">
        <x:v>46010</x:v>
      </x:c>
      <x:c r="B1815" s="72" t="n">
        <x:v>15</x:v>
      </x:c>
    </x:row>
    <x:row r="1816" s="43" customFormat="1" ht="15" customHeight="1">
      <x:c r="A1816" s="69" t="n">
        <x:v>46011</x:v>
      </x:c>
      <x:c r="B1816" s="70" t="n">
        <x:v>15</x:v>
      </x:c>
    </x:row>
    <x:row r="1817" s="43" customFormat="1" ht="15" customHeight="1">
      <x:c r="A1817" s="71" t="n">
        <x:v>46012</x:v>
      </x:c>
      <x:c r="B1817" s="72" t="n">
        <x:v>15</x:v>
      </x:c>
    </x:row>
    <x:row r="1818" s="43" customFormat="1" ht="15" customHeight="1">
      <x:c r="A1818" s="69" t="n">
        <x:v>46013</x:v>
      </x:c>
      <x:c r="B1818" s="70" t="n">
        <x:v>15</x:v>
      </x:c>
    </x:row>
    <x:row r="1819" s="43" customFormat="1" ht="15" customHeight="1">
      <x:c r="A1819" s="71" t="n">
        <x:v>46014</x:v>
      </x:c>
      <x:c r="B1819" s="72" t="n">
        <x:v>15</x:v>
      </x:c>
    </x:row>
    <x:row r="1820" s="43" customFormat="1" ht="15" customHeight="1">
      <x:c r="A1820" s="69" t="n">
        <x:v>46015</x:v>
      </x:c>
      <x:c r="B1820" s="70" t="n">
        <x:v>15</x:v>
      </x:c>
    </x:row>
    <x:row r="1821" s="43" customFormat="1" ht="15" customHeight="1">
      <x:c r="A1821" s="71" t="n">
        <x:v>46016</x:v>
      </x:c>
      <x:c r="B1821" s="72" t="n">
        <x:v>15</x:v>
      </x:c>
    </x:row>
    <x:row r="1822" s="43" customFormat="1" ht="15" customHeight="1">
      <x:c r="A1822" s="69" t="n">
        <x:v>46017</x:v>
      </x:c>
      <x:c r="B1822" s="70" t="n">
        <x:v>15</x:v>
      </x:c>
    </x:row>
    <x:row r="1823" s="43" customFormat="1" ht="15" customHeight="1">
      <x:c r="A1823" s="71" t="n">
        <x:v>46018</x:v>
      </x:c>
      <x:c r="B1823" s="72" t="n">
        <x:v>15</x:v>
      </x:c>
    </x:row>
    <x:row r="1824" s="43" customFormat="1" ht="15" customHeight="1">
      <x:c r="A1824" s="69" t="n">
        <x:v>46019</x:v>
      </x:c>
      <x:c r="B1824" s="70" t="n">
        <x:v>15</x:v>
      </x:c>
    </x:row>
    <x:row r="1825" s="43" customFormat="1" ht="15" customHeight="1">
      <x:c r="A1825" s="71" t="n">
        <x:v>46020</x:v>
      </x:c>
      <x:c r="B1825" s="72" t="n">
        <x:v>15</x:v>
      </x:c>
    </x:row>
    <x:row r="1826" s="43" customFormat="1" ht="15" customHeight="1">
      <x:c r="A1826" s="69" t="n">
        <x:v>46021</x:v>
      </x:c>
      <x:c r="B1826" s="70" t="n">
        <x:v>15</x:v>
      </x:c>
    </x:row>
    <x:row r="1827" s="43" customFormat="1" ht="15" customHeight="1">
      <x:c r="A1827" s="71" t="n">
        <x:v>46022</x:v>
      </x:c>
      <x:c r="B1827" s="72" t="n">
        <x:v>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5A94"/>
  </x:sheetPr>
  <x:sheetViews>
    <x:sheetView showGridLines="0" workbookViewId="0">
      <x:pane ySplit="1" topLeftCell="A2" activePane="bottomLeft" state="frozen"/>
    </x:sheetView>
  </x:sheetViews>
  <x:sheetFormatPr baseColWidth="8" defaultColWidth="8.6796875" defaultRowHeight="15"/>
  <x:cols>
    <x:col min="1" max="1" width="34" style="42" customWidth="1"/>
    <x:col min="2" max="2" width="20" style="42" customWidth="1"/>
    <x:col min="3" max="3" width="14" style="42" customWidth="1"/>
    <x:col min="4" max="4" width="18" style="42" customWidth="1"/>
    <x:col min="5" max="5" width="22" style="42" customWidth="1"/>
    <x:col min="6" max="6" width="14" style="42" customWidth="1"/>
    <x:col min="7" max="8" width="16" style="42" customWidth="1"/>
    <x:col min="9" max="9" width="54" style="42" customWidth="1"/>
    <x:col min="10" max="10" width="52" style="42" customWidth="1"/>
    <x:col min="11" max="11" width="16" style="42" customWidth="1"/>
    <x:col min="12" max="12" width="72" style="42" customWidth="1"/>
  </x:cols>
  <x:sheetData>
    <x:row r="1" s="43" customFormat="1" ht="33.75" customHeight="1">
      <x:c r="A1" s="73" t="inlineStr">
        <x:is>
          <x:t xml:space="preserve">Indicador</x:t>
        </x:is>
      </x:c>
      <x:c r="B1" s="73" t="inlineStr">
        <x:is>
          <x:t xml:space="preserve">Instituição</x:t>
        </x:is>
      </x:c>
      <x:c r="C1" s="73" t="inlineStr">
        <x:is>
          <x:t xml:space="preserve">Base</x:t>
        </x:is>
      </x:c>
      <x:c r="D1" s="73" t="inlineStr">
        <x:is>
          <x:t xml:space="preserve">Código ou tabela</x:t>
        </x:is>
      </x:c>
      <x:c r="E1" s="73" t="inlineStr">
        <x:is>
          <x:t xml:space="preserve">Recorte</x:t>
        </x:is>
      </x:c>
      <x:c r="F1" s="73" t="inlineStr">
        <x:is>
          <x:t xml:space="preserve">Unidade</x:t>
        </x:is>
      </x:c>
      <x:c r="G1" s="73" t="inlineStr">
        <x:is>
          <x:t xml:space="preserve">Periodicidade</x:t>
        </x:is>
      </x:c>
      <x:c r="H1" s="73" t="inlineStr">
        <x:is>
          <x:t xml:space="preserve">Ajuste sazonal</x:t>
        </x:is>
      </x:c>
      <x:c r="I1" s="73" t="inlineStr">
        <x:is>
          <x:t xml:space="preserve">Link</x:t>
        </x:is>
      </x:c>
      <x:c r="J1" s="73" t="inlineStr">
        <x:is>
          <x:t xml:space="preserve">Status</x:t>
        </x:is>
      </x:c>
      <x:c r="K1" s="73" t="inlineStr">
        <x:is>
          <x:t xml:space="preserve">Data de coleta</x:t>
        </x:is>
      </x:c>
      <x:c r="L1" s="73" t="inlineStr">
        <x:is>
          <x:t xml:space="preserve">Observação</x:t>
        </x:is>
      </x:c>
    </x:row>
    <x:row r="2" s="43" customFormat="1" ht="37.29999923706055" customHeight="1">
      <x:c r="A2" s="74" t="inlineStr">
        <x:is>
          <x:t xml:space="preserve">IPCA – variação mensal (Brasil)</x:t>
        </x:is>
      </x:c>
      <x:c r="B2" s="74" t="inlineStr">
        <x:is>
          <x:t xml:space="preserve">IBGE (divulgado pelo BCB)</x:t>
        </x:is>
      </x:c>
      <x:c r="C2" s="74" t="inlineStr">
        <x:is>
          <x:t xml:space="preserve">SGS/BCB</x:t>
        </x:is>
      </x:c>
      <x:c r="D2" s="74" t="inlineStr">
        <x:is>
          <x:t xml:space="preserve">433</x:t>
        </x:is>
      </x:c>
      <x:c r="E2" s="74" t="inlineStr">
        <x:is>
          <x:t xml:space="preserve">Brasil</x:t>
        </x:is>
      </x:c>
      <x:c r="F2" s="74" t="inlineStr">
        <x:is>
          <x:t xml:space="preserve">% a.m.</x:t>
        </x:is>
      </x:c>
      <x:c r="G2" s="74" t="inlineStr">
        <x:is>
          <x:t xml:space="preserve">Mensal</x:t>
        </x:is>
      </x:c>
      <x:c r="H2" s="74" t="inlineStr">
        <x:is>
          <x:t xml:space="preserve">Não se aplica</x:t>
        </x:is>
      </x:c>
      <x:c r="I2" s="75" t="inlineStr">
        <x:is>
          <x:t xml:space="preserve">https://api.bcb.gov.br/dados/serie/bcdata.sgs.433/dados?formato=json&amp;dataInicial=01/01/2021&amp;dataFinal=31/12/2025</x:t>
        </x:is>
      </x:c>
      <x:c r="J2" s="74" t="inlineStr">
        <x:is>
          <x:t xml:space="preserve">Valores conferidos em duas fontes secundárias; extração direta do SGS 433 pendente</x:t>
        </x:is>
      </x:c>
      <x:c r="K2" s="124" t="n">
        <x:v>46322</x:v>
      </x:c>
      <x:c r="L2" s="74" t="inlineStr">
        <x:is>
          <x:t xml:space="preserve">Brasil, 60 meses. Tabela IBGE reproduzida (UFMS/OBECON) para 2021-2024 e set-dez/2025; jan-ago/2025 só em agregador (numerando.com.br, que cita BCB 433). Soma composta de 2025 confere com 4,26%.</x:t>
        </x:is>
      </x:c>
    </x:row>
    <x:row r="3" s="43" customFormat="1" ht="25.350000381469727" customHeight="1">
      <x:c r="A3" s="77" t="inlineStr">
        <x:is>
          <x:t xml:space="preserve">IPCA – acumulado em 12 meses (Brasil)</x:t>
        </x:is>
      </x:c>
      <x:c r="B3" s="77" t="inlineStr">
        <x:is>
          <x:t xml:space="preserve">IBGE (divulgado pelo BCB)</x:t>
        </x:is>
      </x:c>
      <x:c r="C3" s="77" t="inlineStr">
        <x:is>
          <x:t xml:space="preserve">SGS/BCB</x:t>
        </x:is>
      </x:c>
      <x:c r="D3" s="77" t="inlineStr">
        <x:is>
          <x:t xml:space="preserve">13522</x:t>
        </x:is>
      </x:c>
      <x:c r="E3" s="77" t="inlineStr">
        <x:is>
          <x:t xml:space="preserve">Brasil</x:t>
        </x:is>
      </x:c>
      <x:c r="F3" s="77" t="inlineStr">
        <x:is>
          <x:t xml:space="preserve">%</x:t>
        </x:is>
      </x:c>
      <x:c r="G3" s="77" t="inlineStr">
        <x:is>
          <x:t xml:space="preserve">Mensal</x:t>
        </x:is>
      </x:c>
      <x:c r="H3" s="77" t="inlineStr">
        <x:is>
          <x:t xml:space="preserve">Não se aplica</x:t>
        </x:is>
      </x:c>
      <x:c r="I3" s="75" t="inlineStr">
        <x:is>
          <x:t xml:space="preserve">https://api.bcb.gov.br/dados/serie/bcdata.sgs.13522/dados?formato=json&amp;dataInicial=01/01/2021&amp;dataFinal=31/12/2025</x:t>
        </x:is>
      </x:c>
      <x:c r="J3" s="77" t="str">
        <x:v>Série preenchida; valores Jan–Ago/2025 calculados por composição; validar contra SGS 13522</x:v>
      </x:c>
      <x:c r="K3" s="125" t="n">
        <x:v>46322</x:v>
      </x:c>
      <x:c r="L3" s="77" t="str">
        <x:v>A inflação acumulada em 12 meses para jan–ago/2025 foi calculada pela composição das variações mensais (SGS 433); confrontar com a série oficial SGS 13522 antes de publicar. Não depende de uma aba Pendencias_Log.</x:v>
      </x:c>
    </x:row>
    <x:row r="4" s="43" customFormat="1" ht="25.350000381469727" customHeight="1">
      <x:c r="A4" s="74" t="inlineStr">
        <x:is>
          <x:t xml:space="preserve">IPCA – variação mensal (Goiânia)</x:t>
        </x:is>
      </x:c>
      <x:c r="B4" s="74" t="inlineStr">
        <x:is>
          <x:t xml:space="preserve">IBGE</x:t>
        </x:is>
      </x:c>
      <x:c r="C4" s="74" t="str">
        <x:v>SGS/BCB (fonte primária: IBGE)</x:v>
      </x:c>
      <x:c r="D4" s="74" t="str">
        <x:v>13255</x:v>
      </x:c>
      <x:c r="E4" s="74" t="inlineStr">
        <x:is>
          <x:t xml:space="preserve">Goiânia, proxy de Goiás</x:t>
        </x:is>
      </x:c>
      <x:c r="F4" s="74" t="inlineStr">
        <x:is>
          <x:t xml:space="preserve">% a.m.</x:t>
        </x:is>
      </x:c>
      <x:c r="G4" s="74" t="inlineStr">
        <x:is>
          <x:t xml:space="preserve">Mensal</x:t>
        </x:is>
      </x:c>
      <x:c r="H4" s="74" t="inlineStr">
        <x:is>
          <x:t xml:space="preserve">Não se aplica</x:t>
        </x:is>
      </x:c>
      <x:c r="I4" s="74" t="str">
        <x:v>https://api.bcb.gov.br/dados/serie/bcdata.sgs.13255/dados?formato=json&amp;dataInicial=01/01/2021&amp;dataFinal=31/12/2025</x:v>
      </x:c>
      <x:c r="J4" s="74" t="str">
        <x:v>PENDENTE: a API não retornou valores acessíveis nesta sessão; manter 60 observações em branco até extração oficial</x:v>
      </x:c>
      <x:c r="K4" s="124" t="n">
        <x:v>46322</x:v>
      </x:c>
      <x:c r="L4" s="74" t="str">
        <x:v>SGS 13255, fonte IBGE via SGS/BCB. Indicador mensal da área de coleta de Goiânia, não representativo de todo o estado. Link direto da API registrado para preenchimento verificável.</x:v>
      </x:c>
    </x:row>
    <x:row r="5" s="43" customFormat="1" ht="49.25" customHeight="1">
      <x:c r="A5" s="77" t="inlineStr">
        <x:is>
          <x:t xml:space="preserve">Meta Selic (definida pelo Copom)</x:t>
        </x:is>
      </x:c>
      <x:c r="B5" s="77" t="inlineStr">
        <x:is>
          <x:t xml:space="preserve">BCB / Copom</x:t>
        </x:is>
      </x:c>
      <x:c r="C5" s="77" t="inlineStr">
        <x:is>
          <x:t xml:space="preserve">SGS/BCB</x:t>
        </x:is>
      </x:c>
      <x:c r="D5" s="77" t="inlineStr">
        <x:is>
          <x:t xml:space="preserve">432</x:t>
        </x:is>
      </x:c>
      <x:c r="E5" s="77" t="inlineStr">
        <x:is>
          <x:t xml:space="preserve">Brasil (nacional)</x:t>
        </x:is>
      </x:c>
      <x:c r="F5" s="77" t="inlineStr">
        <x:is>
          <x:t xml:space="preserve">% a.a.</x:t>
        </x:is>
      </x:c>
      <x:c r="G5" s="77" t="inlineStr">
        <x:is>
          <x:t xml:space="preserve">Diária (muda nas reuniões do Copom)</x:t>
        </x:is>
      </x:c>
      <x:c r="H5" s="77" t="inlineStr">
        <x:is>
          <x:t xml:space="preserve">Não se aplica</x:t>
        </x:is>
      </x:c>
      <x:c r="I5" s="75" t="inlineStr">
        <x:is>
          <x:t xml:space="preserve">https://api.bcb.gov.br/dados/serie/bcdata.sgs.432/dados?formato=json&amp;dataInicial=01/01/2021&amp;dataFinal=31/12/2025</x:t>
        </x:is>
      </x:c>
      <x:c r="J5" s="77" t="inlineStr">
        <x:is>
          <x:t xml:space="preserve">Parcial: 2023 direto da API; demais anos reconstruídos das decisões do Copom</x:t>
        </x:is>
      </x:c>
      <x:c r="K5" s="125" t="n">
        <x:v>46322</x:v>
      </x:c>
      <x:c r="L5" s="77" t="inlineStr">
        <x:is>
          <x:t xml:space="preserve">Nacional. 2023 = download direto (API do SGS 432). Outros anos = decisões do Copom (tabela do BCB reproduzida; ata de 31/01/2024 conferida), vigência no dia seguinte à reunião (regra verificada nas 5 mudanças de 2023). Média mensal e fim de mês calculados na planilha.</x:t>
        </x:is>
      </x:c>
    </x:row>
    <x:row r="6" s="43" customFormat="1" ht="25.350000381469727" customHeight="1">
      <x:c r="A6" s="74" t="inlineStr">
        <x:is>
          <x:t xml:space="preserve">IBC-Br (com ajuste sazonal)</x:t>
        </x:is>
      </x:c>
      <x:c r="B6" s="74" t="inlineStr">
        <x:is>
          <x:t xml:space="preserve">BCB</x:t>
        </x:is>
      </x:c>
      <x:c r="C6" s="74" t="inlineStr">
        <x:is>
          <x:t xml:space="preserve">SGS/BCB</x:t>
        </x:is>
      </x:c>
      <x:c r="D6" s="74" t="inlineStr">
        <x:is>
          <x:t xml:space="preserve">24364</x:t>
        </x:is>
      </x:c>
      <x:c r="E6" s="74" t="inlineStr">
        <x:is>
          <x:t xml:space="preserve">Brasil</x:t>
        </x:is>
      </x:c>
      <x:c r="F6" s="74" t="inlineStr">
        <x:is>
          <x:t xml:space="preserve">Índice</x:t>
        </x:is>
      </x:c>
      <x:c r="G6" s="74" t="inlineStr">
        <x:is>
          <x:t xml:space="preserve">Mensal</x:t>
        </x:is>
      </x:c>
      <x:c r="H6" s="74" t="inlineStr">
        <x:is>
          <x:t xml:space="preserve">Com ajuste</x:t>
        </x:is>
      </x:c>
      <x:c r="I6" s="75" t="str">
        <x:v>https://dadosabertos.bcb.gov.br/dataset/24364-indice-de-atividade-economica-do-banco-central-ibc-br---com-ajuste-sazonal</x:v>
      </x:c>
      <x:c r="J6" s="74" t="str">
        <x:v>Preenchido: 60 observações (jan/2021–dez/2025) consultadas na página de valores do SGS/BCB</x:v>
      </x:c>
      <x:c r="K6" s="124" t="n">
        <x:v>46322</x:v>
      </x:c>
      <x:c r="L6" s="74" t="str">
        <x:v>SGS 24364: IBC-Br com ajuste sazonal, índice nacional mensal. Variação m/m calculada pela razão entre índices consecutivos; janeiro/2021 sem comparação m/m porque dezembro/2020 não integra a base do projeto.</x:v>
      </x:c>
    </x:row>
    <x:row r="7" s="43" customFormat="1" ht="15" customHeight="1">
      <x:c r="A7" s="77" t="inlineStr">
        <x:is>
          <x:t xml:space="preserve">IBC-Br (sem ajuste sazonal)</x:t>
        </x:is>
      </x:c>
      <x:c r="B7" s="77" t="inlineStr">
        <x:is>
          <x:t xml:space="preserve">BCB</x:t>
        </x:is>
      </x:c>
      <x:c r="C7" s="77" t="inlineStr">
        <x:is>
          <x:t xml:space="preserve">SGS/BCB</x:t>
        </x:is>
      </x:c>
      <x:c r="D7" s="77" t="inlineStr">
        <x:is>
          <x:t xml:space="preserve">24363</x:t>
        </x:is>
      </x:c>
      <x:c r="E7" s="77" t="inlineStr">
        <x:is>
          <x:t xml:space="preserve">Brasil</x:t>
        </x:is>
      </x:c>
      <x:c r="F7" s="77" t="inlineStr">
        <x:is>
          <x:t xml:space="preserve">Índice</x:t>
        </x:is>
      </x:c>
      <x:c r="G7" s="77" t="inlineStr">
        <x:is>
          <x:t xml:space="preserve">Mensal</x:t>
        </x:is>
      </x:c>
      <x:c r="H7" s="77" t="inlineStr">
        <x:is>
          <x:t xml:space="preserve">Sem ajuste</x:t>
        </x:is>
      </x:c>
      <x:c r="I7" s="75" t="str">
        <x:v>https://dadosabertos.bcb.gov.br/dataset/24363-indice-de-atividade-economica-do-banco-central-ibc-br---sem-ajuste-sazonal</x:v>
      </x:c>
      <x:c r="J7" s="77" t="str">
        <x:v>Preenchido: 60 observações (jan/2021–dez/2025) consultadas na página de valores do SGS/BCB</x:v>
      </x:c>
      <x:c r="K7" s="125" t="n">
        <x:v>46322</x:v>
      </x:c>
      <x:c r="L7" s="77" t="str">
        <x:v>SGS 24363: IBC-Br sem ajuste sazonal, índice nacional mensal. Comparações interanuais são preferíveis para interpretações econômicas sem ajuste sazonal.</x:v>
      </x:c>
    </x:row>
    <x:row r="8" s="43" customFormat="1" ht="25.350000381469727" customHeight="1">
      <x:c r="A8" s="74" t="inlineStr">
        <x:is>
          <x:t xml:space="preserve">IBCR-GO (com ajuste sazonal)</x:t>
        </x:is>
      </x:c>
      <x:c r="B8" s="74" t="inlineStr">
        <x:is>
          <x:t xml:space="preserve">BCB</x:t>
        </x:is>
      </x:c>
      <x:c r="C8" s="74" t="inlineStr">
        <x:is>
          <x:t xml:space="preserve">SGS/BCB</x:t>
        </x:is>
      </x:c>
      <x:c r="D8" s="74" t="inlineStr">
        <x:is>
          <x:t xml:space="preserve">25384</x:t>
        </x:is>
      </x:c>
      <x:c r="E8" s="74" t="inlineStr">
        <x:is>
          <x:t xml:space="preserve">Goiás</x:t>
        </x:is>
      </x:c>
      <x:c r="F8" s="74" t="inlineStr">
        <x:is>
          <x:t xml:space="preserve">Índice</x:t>
        </x:is>
      </x:c>
      <x:c r="G8" s="74" t="inlineStr">
        <x:is>
          <x:t xml:space="preserve">Mensal</x:t>
        </x:is>
      </x:c>
      <x:c r="H8" s="74" t="inlineStr">
        <x:is>
          <x:t xml:space="preserve">Com ajuste</x:t>
        </x:is>
      </x:c>
      <x:c r="I8" s="74" t="str">
        <x:v>https://dadosabertos.bcb.gov.br/dataset/25384-sgs</x:v>
      </x:c>
      <x:c r="J8" s="74" t="str">
        <x:v>Preenchido: 60 observações oficiais (jan/2021–dez/2025), SGS 25384</x:v>
      </x:c>
      <x:c r="K8" s="124" t="n">
        <x:v>46322</x:v>
      </x:c>
      <x:c r="L8" s="74" t="str">
        <x:v>Valores consultados na interface JSON oficial do SGS/BCB. Série mensal regional com ajuste sazonal; variação mensal calculada sobre o índice ajustado.</x:v>
      </x:c>
    </x:row>
    <x:row r="9" s="43" customFormat="1" ht="25.350000381469727" customHeight="1">
      <x:c r="A9" s="77" t="inlineStr">
        <x:is>
          <x:t xml:space="preserve">IBCR-GO (sem ajuste sazonal)</x:t>
        </x:is>
      </x:c>
      <x:c r="B9" s="77" t="inlineStr">
        <x:is>
          <x:t xml:space="preserve">BCB</x:t>
        </x:is>
      </x:c>
      <x:c r="C9" s="77" t="inlineStr">
        <x:is>
          <x:t xml:space="preserve">SGS/BCB</x:t>
        </x:is>
      </x:c>
      <x:c r="D9" s="77" t="inlineStr">
        <x:is>
          <x:t xml:space="preserve">25383</x:t>
        </x:is>
      </x:c>
      <x:c r="E9" s="77" t="inlineStr">
        <x:is>
          <x:t xml:space="preserve">Goiás</x:t>
        </x:is>
      </x:c>
      <x:c r="F9" s="77" t="inlineStr">
        <x:is>
          <x:t xml:space="preserve">Índice</x:t>
        </x:is>
      </x:c>
      <x:c r="G9" s="77" t="inlineStr">
        <x:is>
          <x:t xml:space="preserve">Mensal</x:t>
        </x:is>
      </x:c>
      <x:c r="H9" s="77" t="inlineStr">
        <x:is>
          <x:t xml:space="preserve">Sem ajuste</x:t>
        </x:is>
      </x:c>
      <x:c r="I9" s="77" t="str">
        <x:v>https://dadosabertos.bcb.gov.br/dataset/25383-sgs</x:v>
      </x:c>
      <x:c r="J9" s="77" t="str">
        <x:v>Preenchido: 60 observações oficiais (jan/2021–dez/2025), SGS 25383</x:v>
      </x:c>
      <x:c r="K9" s="125" t="n">
        <x:v>46322</x:v>
      </x:c>
      <x:c r="L9" s="77" t="str">
        <x:v>Valores consultados na interface JSON oficial do SGS/BCB. Série mensal regional sem ajuste sazonal; comparar preferencialmente com o mesmo mês do ano anterior.</x:v>
      </x:c>
    </x:row>
    <x:row r="10" s="43" customFormat="1" ht="37.29999923706055" customHeight="1">
      <x:c r="A10" s="74" t="inlineStr">
        <x:is>
          <x:t xml:space="preserve">Taxa de desocupação (PNAD Contínua, trimestres convencionais)</x:t>
        </x:is>
      </x:c>
      <x:c r="B10" s="74" t="inlineStr">
        <x:is>
          <x:t xml:space="preserve">IBGE</x:t>
        </x:is>
      </x:c>
      <x:c r="C10" s="74" t="inlineStr">
        <x:is>
          <x:t xml:space="preserve">SIDRA</x:t>
        </x:is>
      </x:c>
      <x:c r="D10" s="74" t="str">
        <x:v>6468</x:v>
      </x:c>
      <x:c r="E10" s="74" t="inlineStr">
        <x:is>
          <x:t xml:space="preserve">Brasil e UF (Goiás = código 52)</x:t>
        </x:is>
      </x:c>
      <x:c r="F10" s="74" t="inlineStr">
        <x:is>
          <x:t xml:space="preserve">%</x:t>
        </x:is>
      </x:c>
      <x:c r="G10" s="74" t="inlineStr">
        <x:is>
          <x:t xml:space="preserve">Trimestral</x:t>
        </x:is>
      </x:c>
      <x:c r="H10" s="74" t="inlineStr">
        <x:is>
          <x:t xml:space="preserve">Não se aplica</x:t>
        </x:is>
      </x:c>
      <x:c r="I10" s="75" t="str">
        <x:v>https://sidra.ibge.gov.br/tabela/6468</x:v>
      </x:c>
      <x:c r="J10" s="74" t="str">
        <x:v>Valores de 20 trimestres compilados de releases oficiais; validação integral SIDRA ainda pendente</x:v>
      </x:c>
      <x:c r="K10" s="124" t="n">
        <x:v>46322</x:v>
      </x:c>
      <x:c r="L10" s="74" t="str">
        <x:v>Brasil e Goiás; taxa trimestral (%). Valores dos releases PNAD Contínua/IBGE compilados por trimestre; recomenda-se substituir por uma única extração da tabela SIDRA 6468 antes da publicação final para evitar divergências entre versões históricas.</x:v>
      </x:c>
    </x:row>
    <x:row r="11" s="43" customFormat="1" ht="25.350000381469727" customHeight="1">
      <x:c r="A11" s="77" t="inlineStr">
        <x:is>
          <x:t xml:space="preserve">Meta de inflação (CMN)</x:t>
        </x:is>
      </x:c>
      <x:c r="B11" s="77" t="inlineStr">
        <x:is>
          <x:t xml:space="preserve">CMN</x:t>
        </x:is>
      </x:c>
      <x:c r="C11" s="77" t="inlineStr">
        <x:is>
          <x:t xml:space="preserve">Resoluções anuais</x:t>
        </x:is>
      </x:c>
      <x:c r="D11" s="77" t="inlineStr">
        <x:is>
          <x:t xml:space="preserve">não se aplica</x:t>
        </x:is>
      </x:c>
      <x:c r="E11" s="77" t="inlineStr">
        <x:is>
          <x:t xml:space="preserve">Brasil</x:t>
        </x:is>
      </x:c>
      <x:c r="F11" s="77" t="inlineStr">
        <x:is>
          <x:t xml:space="preserve">% a.a.</x:t>
        </x:is>
      </x:c>
      <x:c r="G11" s="77" t="inlineStr">
        <x:is>
          <x:t xml:space="preserve">Anual</x:t>
        </x:is>
      </x:c>
      <x:c r="H11" s="77" t="inlineStr">
        <x:is>
          <x:t xml:space="preserve">Não se aplica</x:t>
        </x:is>
      </x:c>
      <x:c r="I11" s="77" t="str">
        <x:v>https://www.bcb.gov.br/controleinflacao/metainflacao</x:v>
      </x:c>
      <x:c r="J11" s="77" t="str">
        <x:v>Meta de 2023 completada em 3,25%; série anual 2021–2025 preenchida</x:v>
      </x:c>
      <x:c r="K11" s="125" t="n">
        <x:v>46322</x:v>
      </x:c>
      <x:c r="L11" s="77" t="str">
        <x:v>Metas de inflação: 2021=3,75%; 2022=3,50%; 2023=3,25%; 2024=3,00%; 2025=3,00%. Fonte de referência: Banco Central do Brasil/CMN.</x:v>
      </x:c>
    </x:row>
  </x:sheetData>
  <x:hyperlinks>
    <x:hyperlink xmlns:r="http://schemas.openxmlformats.org/officeDocument/2006/relationships" ref="I2" r:id="Rcb90b5b3fbed4e1d"/>
    <x:hyperlink xmlns:r="http://schemas.openxmlformats.org/officeDocument/2006/relationships" ref="I3" r:id="R0d04f04c8489467e"/>
    <x:hyperlink xmlns:r="http://schemas.openxmlformats.org/officeDocument/2006/relationships" ref="I5" r:id="R050c941cde6f4c42"/>
    <x:hyperlink xmlns:r="http://schemas.openxmlformats.org/officeDocument/2006/relationships" ref="I6" r:id="Rb4cbb9abac8e44b6"/>
    <x:hyperlink xmlns:r="http://schemas.openxmlformats.org/officeDocument/2006/relationships" ref="I7" r:id="R6d644e53aab742f4"/>
    <x:hyperlink xmlns:r="http://schemas.openxmlformats.org/officeDocument/2006/relationships" ref="I10" r:id="R608d65e0a666404d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8A13A"/>
  </x:sheetPr>
  <x:sheetViews>
    <x:sheetView showGridLines="0" workbookViewId="0">
      <x:pane ySplit="1" topLeftCell="A2" activePane="bottomLeft" state="frozen"/>
    </x:sheetView>
  </x:sheetViews>
  <x:sheetFormatPr baseColWidth="8" defaultColWidth="8.6796875" defaultRowHeight="15"/>
  <x:cols>
    <x:col min="1" max="1" width="32" style="42" customWidth="1"/>
    <x:col min="2" max="2" width="36" style="42" customWidth="1"/>
    <x:col min="3" max="3" width="20" style="42" customWidth="1"/>
    <x:col min="4" max="4" width="76" style="42" customWidth="1"/>
  </x:cols>
  <x:sheetData>
    <x:row r="1" s="43" customFormat="1" ht="15" customHeight="1">
      <x:c r="A1" s="81" t="inlineStr">
        <x:is>
          <x:t xml:space="preserve">Verificação</x:t>
        </x:is>
      </x:c>
      <x:c r="B1" s="81" t="inlineStr">
        <x:is>
          <x:t xml:space="preserve">Resultado</x:t>
        </x:is>
      </x:c>
      <x:c r="C1" s="81" t="inlineStr">
        <x:is>
          <x:t xml:space="preserve">Situação</x:t>
        </x:is>
      </x:c>
      <x:c r="D1" s="81" t="inlineStr">
        <x:is>
          <x:t xml:space="preserve">Ação recomendada</x:t>
        </x:is>
      </x:c>
    </x:row>
    <x:row r="2" s="43" customFormat="1" ht="42" customHeight="1">
      <x:c r="A2" s="82" t="inlineStr">
        <x:is>
          <x:t xml:space="preserve">Período mensal</x:t>
        </x:is>
      </x:c>
      <x:c r="B2" s="82" t="inlineStr">
        <x:is>
          <x:t xml:space="preserve">60 meses (jan/2021–dez/2025)</x:t>
        </x:is>
      </x:c>
      <x:c r="C2" s="82" t="inlineStr">
        <x:is>
          <x:t xml:space="preserve">OK</x:t>
        </x:is>
      </x:c>
      <x:c r="D2" s="82" t="inlineStr">
        <x:is>
          <x:t xml:space="preserve">Datas mensais presentes na aba 02 Mensal.</x:t>
        </x:is>
      </x:c>
    </x:row>
    <x:row r="3" s="43" customFormat="1" ht="42" customHeight="1">
      <x:c r="A3" s="58" t="inlineStr">
        <x:is>
          <x:t xml:space="preserve">Meta Selic diária</x:t>
        </x:is>
      </x:c>
      <x:c r="B3" s="58" t="inlineStr">
        <x:is>
          <x:t xml:space="preserve">1.826 registros na base</x:t>
        </x:is>
      </x:c>
      <x:c r="C3" s="58" t="inlineStr">
        <x:is>
          <x:t xml:space="preserve">Revisar origem</x:t>
        </x:is>
      </x:c>
      <x:c r="D3" s="58" t="inlineStr">
        <x:is>
          <x:t xml:space="preserve">Conferir extração direta da API SGS 432; não presumir que a série diária completa foi baixada oficialmente.</x:t>
        </x:is>
      </x:c>
    </x:row>
    <x:row r="4" s="43" customFormat="1" ht="42" customHeight="1">
      <x:c r="A4" s="82" t="inlineStr">
        <x:is>
          <x:t xml:space="preserve">IPCA Brasil mensal</x:t>
        </x:is>
      </x:c>
      <x:c r="B4" s="82" t="str">
        <x:v>60/60 valores; origem histórica mantida; validação integral SGS 433 ainda pendente</x:v>
      </x:c>
      <x:c r="C4" s="82" t="str">
        <x:v>REVISAR FONTE</x:v>
      </x:c>
      <x:c r="D4" s="82" t="str">
        <x:v>Conferir os 60 meses contra a série oficial SGS 433 antes de publicar.</x:v>
      </x:c>
    </x:row>
    <x:row r="5" s="43" customFormat="1" ht="42" customHeight="1">
      <x:c r="A5" s="58" t="inlineStr">
        <x:is>
          <x:t xml:space="preserve">IPCA Brasil 12 meses</x:t>
        </x:is>
      </x:c>
      <x:c r="B5" s="58" t="str">
        <x:v>60/60 valores; jan–ago/2025 calculados por composição geométrica</x:v>
      </x:c>
      <x:c r="C5" s="58" t="str">
        <x:v>REVISAR FONTE/CÁLCULO</x:v>
      </x:c>
      <x:c r="D5" s="58" t="str">
        <x:v>Comparar os valores calculados com SGS 13522 e documentar qualquer divergência.</x:v>
      </x:c>
    </x:row>
    <x:row r="6" s="43" customFormat="1" ht="42" customHeight="1">
      <x:c r="A6" s="82" t="inlineStr">
        <x:is>
          <x:t xml:space="preserve">IPCA Goiânia</x:t>
        </x:is>
      </x:c>
      <x:c r="B6" s="82" t="str">
        <x:v>0/60 valores</x:v>
      </x:c>
      <x:c r="C6" s="82" t="str">
        <x:v>PENDENTE</x:v>
      </x:c>
      <x:c r="D6" s="82" t="str">
        <x:v>Extrair SGS 13255; não publicar como inflação do estado inteiro.</x:v>
      </x:c>
    </x:row>
    <x:row r="7" s="43" customFormat="1" ht="42" customHeight="1">
      <x:c r="A7" s="58" t="inlineStr">
        <x:is>
          <x:t xml:space="preserve">IBC-Br com e sem ajuste</x:t>
        </x:is>
      </x:c>
      <x:c r="B7" s="58" t="str">
        <x:v>120 valores preenchidos: 60 com ajuste + 60 sem ajuste</x:v>
      </x:c>
      <x:c r="C7" s="58" t="str">
        <x:v>PREENCHIDO</x:v>
      </x:c>
      <x:c r="D7" s="58" t="str">
        <x:v>SGS 24364 e 24363; variação mensal calculada sobre a série dessazonalizada.</x:v>
      </x:c>
    </x:row>
    <x:row r="8" s="43" customFormat="1" ht="42" customHeight="1">
      <x:c r="A8" s="82" t="inlineStr">
        <x:is>
          <x:t xml:space="preserve">IBCR-GO</x:t>
        </x:is>
      </x:c>
      <x:c r="B8" s="82" t="str">
        <x:v>120 valores preenchidos: 60 ajustados + 60 sem ajuste</x:v>
      </x:c>
      <x:c r="C8" s="82" t="str">
        <x:v>PREENCHIDO</x:v>
      </x:c>
      <x:c r="D8" s="82" t="str">
        <x:v>SGS 25384 e 25383 consultadas na API oficial; médias trimestrais e variações calculadas.</x:v>
      </x:c>
    </x:row>
    <x:row r="9" s="43" customFormat="1" ht="42" customHeight="1">
      <x:c r="A9" s="58" t="inlineStr">
        <x:is>
          <x:t xml:space="preserve">Desocupação Brasil e Goiás</x:t>
        </x:is>
      </x:c>
      <x:c r="B9" s="58" t="str">
        <x:v>20 trimestres preenchidos para Brasil e Goiás</x:v>
      </x:c>
      <x:c r="C9" s="58" t="str">
        <x:v>PROVISÓRIO</x:v>
      </x:c>
      <x:c r="D9" s="58" t="str">
        <x:v>Reconciliar com uma única extração SIDRA 6468 antes da publicação final.</x:v>
      </x:c>
    </x:row>
    <x:row r="10" s="43" customFormat="1" ht="42" customHeight="1">
      <x:c r="A10" s="82" t="inlineStr">
        <x:is>
          <x:t xml:space="preserve">Dashboard</x:t>
        </x:is>
      </x:c>
      <x:c r="B10" s="82" t="str">
        <x:v>Dashboard atualizado; IPCA Goiânia permanece pendente</x:v>
      </x:c>
      <x:c r="C10" s="82" t="str">
        <x:v>PROTÓTIPO AVANÇADO</x:v>
      </x:c>
      <x:c r="D10" s="82" t="str">
        <x:v>Finalizar IPCA Goiânia e reconciliar desemprego; depois atualizar a apresentação.</x:v>
      </x:c>
    </x:row>
    <x:row r="11" s="43" customFormat="1" ht="42" customHeight="1">
      <x:c r="A11" s="58" t="inlineStr">
        <x:is>
          <x:t xml:space="preserve">Causalidade</x:t>
        </x:is>
      </x:c>
      <x:c r="B11" s="58" t="str">
        <x:v>Análise descritiva</x:v>
      </x:c>
      <x:c r="C11" s="58" t="str">
        <x:v>OK</x:v>
      </x:c>
      <x:c r="D11" s="58" t="str">
        <x:v>Não inferir que correlação entre juros, inflação e atividade prova causalidade.</x:v>
      </x:c>
    </x:row>
  </x:sheetData>
  <x:pageMargins left="0.7" right="0.7" top="0.75" bottom="0.75" header="0.3" footer="0.3"/>
</x:worksheet>
</file>